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 Dataset" sheetId="1" r:id="rId4"/>
    <sheet state="visible" name="Summary" sheetId="2" r:id="rId5"/>
    <sheet state="visible" name="Instructions" sheetId="3" r:id="rId6"/>
  </sheets>
  <definedNames>
    <definedName hidden="1" localSheetId="0" name="_xlnm._FilterDatabase">'Practice Dataset'!$A$1:$F$1</definedName>
  </definedNames>
  <calcPr/>
  <extLst>
    <ext uri="GoogleSheetsCustomDataVersion2">
      <go:sheetsCustomData xmlns:go="http://customooxmlschemas.google.com/" r:id="rId7" roundtripDataChecksum="vQnyzrqDpLxfnznvHRsbuIIiMQl0cr/1WNSuDOzFub0="/>
    </ext>
  </extLst>
</workbook>
</file>

<file path=xl/sharedStrings.xml><?xml version="1.0" encoding="utf-8"?>
<sst xmlns="http://schemas.openxmlformats.org/spreadsheetml/2006/main" count="356" uniqueCount="263">
  <si>
    <t>Management Summary</t>
  </si>
  <si>
    <t>UK Retail ABC Analysis – 100 Item Practice Dataset</t>
  </si>
  <si>
    <t>Objective</t>
  </si>
  <si>
    <t>Calculate revenue, rank products, calculate cumulative revenue %, and classify products A/B/C.</t>
  </si>
  <si>
    <t>Step 1</t>
  </si>
  <si>
    <t>Use Practice Dataset. Revenue is already provided as an Excel formula.</t>
  </si>
  <si>
    <t>Step 2</t>
  </si>
  <si>
    <t>Sort the full table by Revenue_GBP from Largest to Smallest.</t>
  </si>
  <si>
    <t>Step 3</t>
  </si>
  <si>
    <t>Add Rank, Cumulative Revenue, Cumulative Revenue %, and ABC Class.</t>
  </si>
  <si>
    <t>Step 4</t>
  </si>
  <si>
    <t>Cumulative Revenue: first row = Revenue; next row = previous cumulative + current Revenue.</t>
  </si>
  <si>
    <t>Step 5</t>
  </si>
  <si>
    <t>Cumulative Revenue % = Cumulative Revenue / Total Revenue.</t>
  </si>
  <si>
    <t>Step 6</t>
  </si>
  <si>
    <t>ABC formula: =IF(F2&lt;=80%,"A",IF(F2&lt;=95%,"B","C")) — adjust the column reference to your cumulative % column.</t>
  </si>
  <si>
    <t>Step 7</t>
  </si>
  <si>
    <t>Create a Pareto/Combo chart: Revenue as columns and Cumulative Revenue % as a line on a secondary axis.</t>
  </si>
  <si>
    <t>Practice Questions</t>
  </si>
  <si>
    <t>Which 10 products generate the most revenue? How many A/B/C products? What % of revenue comes from A products? Which category contributes most revenue?</t>
  </si>
  <si>
    <t>KPI 1 — Total Revenue</t>
  </si>
  <si>
    <t>KPI 2 — Number of Products</t>
  </si>
  <si>
    <t>KPI 3 — A Products</t>
  </si>
  <si>
    <t>KPI 4 — B Products</t>
  </si>
  <si>
    <t>KPI 5 — C Products</t>
  </si>
  <si>
    <t>Finding 1</t>
  </si>
  <si>
    <t>A relatively 50% group of products contributes a large proportion of total revenue.</t>
  </si>
  <si>
    <t>Finding 2</t>
  </si>
  <si>
    <t>A products should receive greater attention when considering stock availability and sales monitoring.</t>
  </si>
  <si>
    <t>Finding 3</t>
  </si>
  <si>
    <t>C products contribute a smaller share of revenue individually, so management effort can potentially be prioritised elsewhere.</t>
  </si>
  <si>
    <t>Product_ID</t>
  </si>
  <si>
    <t>Product</t>
  </si>
  <si>
    <t>Category</t>
  </si>
  <si>
    <t>Units_Sold</t>
  </si>
  <si>
    <t>Unit_Price_GBP</t>
  </si>
  <si>
    <t>Revenue</t>
  </si>
  <si>
    <t>Cumulative Revenue</t>
  </si>
  <si>
    <t>Cumulative Revenue %</t>
  </si>
  <si>
    <t>ABC</t>
  </si>
  <si>
    <t>P022</t>
  </si>
  <si>
    <t>Spaghetti 500g</t>
  </si>
  <si>
    <t>Grocery</t>
  </si>
  <si>
    <t>The chart visually shows:</t>
  </si>
  <si>
    <t>P042</t>
  </si>
  <si>
    <t>Bacon 300g</t>
  </si>
  <si>
    <t>Meat</t>
  </si>
  <si>
    <t>P036</t>
  </si>
  <si>
    <t>Strawberry Jam 454g</t>
  </si>
  <si>
    <t>Which products contribute most to total revenue?</t>
  </si>
  <si>
    <t>P083</t>
  </si>
  <si>
    <t>Toilet Roll 9pk</t>
  </si>
  <si>
    <t>Household</t>
  </si>
  <si>
    <t>P045</t>
  </si>
  <si>
    <t>Turkey Mince 500g</t>
  </si>
  <si>
    <t>P085</t>
  </si>
  <si>
    <t>Kitchen Foil 30m</t>
  </si>
  <si>
    <t>P080</t>
  </si>
  <si>
    <t>Dishwasher Tablets 30pk</t>
  </si>
  <si>
    <t>P084</t>
  </si>
  <si>
    <t>Bin Bags 20pk</t>
  </si>
  <si>
    <t>P079</t>
  </si>
  <si>
    <t>Fabric Conditioner 1L</t>
  </si>
  <si>
    <t>P087</t>
  </si>
  <si>
    <t>Freezer Bags 40pk</t>
  </si>
  <si>
    <t>P100</t>
  </si>
  <si>
    <t>Cat Litter 10L</t>
  </si>
  <si>
    <t>Pet Care</t>
  </si>
  <si>
    <t>P044</t>
  </si>
  <si>
    <t>Lamb Chops 400g</t>
  </si>
  <si>
    <t>P028</t>
  </si>
  <si>
    <t>Chopped Tomatoes 400g</t>
  </si>
  <si>
    <t>P061</t>
  </si>
  <si>
    <t>Orange Juice 1L</t>
  </si>
  <si>
    <t>Drinks</t>
  </si>
  <si>
    <t>P072</t>
  </si>
  <si>
    <t>Chocolate Box 200g</t>
  </si>
  <si>
    <t>Snacks</t>
  </si>
  <si>
    <t>P089</t>
  </si>
  <si>
    <t>Cleaning Spray 750ml</t>
  </si>
  <si>
    <t>P021</t>
  </si>
  <si>
    <t>Pasta 500g</t>
  </si>
  <si>
    <t>P058</t>
  </si>
  <si>
    <t>Tomatoes 500g</t>
  </si>
  <si>
    <t>Produce</t>
  </si>
  <si>
    <t>P023</t>
  </si>
  <si>
    <t>Penne Pasta 500g</t>
  </si>
  <si>
    <t>P017</t>
  </si>
  <si>
    <t>Tea Bags 80pk</t>
  </si>
  <si>
    <t>P077</t>
  </si>
  <si>
    <t>Washing Liquid 1.5L</t>
  </si>
  <si>
    <t>P040</t>
  </si>
  <si>
    <t>Beef Mince 500g</t>
  </si>
  <si>
    <t>P041</t>
  </si>
  <si>
    <t>Pork Sausages 454g</t>
  </si>
  <si>
    <t>P031</t>
  </si>
  <si>
    <t>Plain Flour 1.5kg</t>
  </si>
  <si>
    <t>P101</t>
  </si>
  <si>
    <t>Dog Treats 200g</t>
  </si>
  <si>
    <t>P007</t>
  </si>
  <si>
    <t>Double Cream 300ml</t>
  </si>
  <si>
    <t>Dairy</t>
  </si>
  <si>
    <t>P069</t>
  </si>
  <si>
    <t>Crisps Multipack</t>
  </si>
  <si>
    <t>P025</t>
  </si>
  <si>
    <t>Corn Flakes 500g</t>
  </si>
  <si>
    <t>P075</t>
  </si>
  <si>
    <t>Popcorn 100g</t>
  </si>
  <si>
    <t>P088</t>
  </si>
  <si>
    <t>Paper Napkins 100pk</t>
  </si>
  <si>
    <t>P062</t>
  </si>
  <si>
    <t>Apple Juice 1L</t>
  </si>
  <si>
    <t>P065</t>
  </si>
  <si>
    <t>Mineral Water 6x1.5L</t>
  </si>
  <si>
    <t>Business Thinking</t>
  </si>
  <si>
    <t>P068</t>
  </si>
  <si>
    <t>Iced Tea 1L</t>
  </si>
  <si>
    <t>P098</t>
  </si>
  <si>
    <t>Cat Food 12pk</t>
  </si>
  <si>
    <t>103 products analysed</t>
  </si>
  <si>
    <t>P010</t>
  </si>
  <si>
    <t>Mozzarella 125g</t>
  </si>
  <si>
    <t>P009</t>
  </si>
  <si>
    <t>Plant Based Milk 1L</t>
  </si>
  <si>
    <t>but:</t>
  </si>
  <si>
    <t>P037</t>
  </si>
  <si>
    <t>Honey 340g</t>
  </si>
  <si>
    <t>P047</t>
  </si>
  <si>
    <t>Bananas 1kg</t>
  </si>
  <si>
    <t>82 products generate around 70–80% of revenue.</t>
  </si>
  <si>
    <t>P092</t>
  </si>
  <si>
    <t>Shower Gel 500ml</t>
  </si>
  <si>
    <t>Personal Care</t>
  </si>
  <si>
    <t>P043</t>
  </si>
  <si>
    <t>Beef Steak 400g</t>
  </si>
  <si>
    <t>The highest-value products should receive closer monitoring because availability problems could have a relatively large impact on sales. Lower-value products can still be monitored, but they may require less management attention.</t>
  </si>
  <si>
    <t>P086</t>
  </si>
  <si>
    <t>Cling Film 30m</t>
  </si>
  <si>
    <t>P082</t>
  </si>
  <si>
    <t>Kitchen Roll 4pk</t>
  </si>
  <si>
    <t>P073</t>
  </si>
  <si>
    <t>Biscuits 300g</t>
  </si>
  <si>
    <t>P048</t>
  </si>
  <si>
    <t>Oranges 1kg</t>
  </si>
  <si>
    <t>P049</t>
  </si>
  <si>
    <t>Grapes 500g</t>
  </si>
  <si>
    <t>P102</t>
  </si>
  <si>
    <t>Pet Shampoo 250ml</t>
  </si>
  <si>
    <t>P057</t>
  </si>
  <si>
    <t>Cucumbers</t>
  </si>
  <si>
    <t>P055</t>
  </si>
  <si>
    <t>Broccoli 400g</t>
  </si>
  <si>
    <t>P035</t>
  </si>
  <si>
    <t>Peanut Butter 340g</t>
  </si>
  <si>
    <t>P094</t>
  </si>
  <si>
    <t>Toothbrush 2pk</t>
  </si>
  <si>
    <t>P008</t>
  </si>
  <si>
    <t>Mature Cheddar 500g</t>
  </si>
  <si>
    <t>P099</t>
  </si>
  <si>
    <t>Dog Food 1.2kg</t>
  </si>
  <si>
    <t>P050</t>
  </si>
  <si>
    <t>Strawberries 400g</t>
  </si>
  <si>
    <t>P033</t>
  </si>
  <si>
    <t>Sugar 1kg</t>
  </si>
  <si>
    <t>P001</t>
  </si>
  <si>
    <t>Semi-Skimmed Milk 2L</t>
  </si>
  <si>
    <t>P063</t>
  </si>
  <si>
    <t>Cola 2L</t>
  </si>
  <si>
    <t>P019</t>
  </si>
  <si>
    <t>Basmati Rice 5kg</t>
  </si>
  <si>
    <t>P081</t>
  </si>
  <si>
    <t>Washing Up Liquid 500ml</t>
  </si>
  <si>
    <t>P030</t>
  </si>
  <si>
    <t>Cooking Oil 1L</t>
  </si>
  <si>
    <t>P056</t>
  </si>
  <si>
    <t>Cauliflower</t>
  </si>
  <si>
    <t>P026</t>
  </si>
  <si>
    <t>Porridge Oats 1kg</t>
  </si>
  <si>
    <t>P004</t>
  </si>
  <si>
    <t>Cheddar Cheese 400g</t>
  </si>
  <si>
    <t>P103</t>
  </si>
  <si>
    <t>Bird Seed 1kg</t>
  </si>
  <si>
    <t>P029</t>
  </si>
  <si>
    <t>Tomato Pasta Sauce 500g</t>
  </si>
  <si>
    <t>P097</t>
  </si>
  <si>
    <t>Body Lotion 400ml</t>
  </si>
  <si>
    <t>P014</t>
  </si>
  <si>
    <t>Croissants 6pk</t>
  </si>
  <si>
    <t>Bakery</t>
  </si>
  <si>
    <t>P067</t>
  </si>
  <si>
    <t>Energy Drink 4pk</t>
  </si>
  <si>
    <t>P066</t>
  </si>
  <si>
    <t>Sparkling Water 6x1.5L</t>
  </si>
  <si>
    <t>P090</t>
  </si>
  <si>
    <t>Shampoo 400ml</t>
  </si>
  <si>
    <t>P003</t>
  </si>
  <si>
    <t>Free Range Eggs 12pk</t>
  </si>
  <si>
    <t>P054</t>
  </si>
  <si>
    <t>Onions 1kg</t>
  </si>
  <si>
    <t>P095</t>
  </si>
  <si>
    <t>Hand Wash 250ml</t>
  </si>
  <si>
    <t>P076</t>
  </si>
  <si>
    <t>Nuts 200g</t>
  </si>
  <si>
    <t>P096</t>
  </si>
  <si>
    <t>Deodorant 150ml</t>
  </si>
  <si>
    <t>P002</t>
  </si>
  <si>
    <t>Whole Milk 2L</t>
  </si>
  <si>
    <t>P071</t>
  </si>
  <si>
    <t>Chocolate Bar</t>
  </si>
  <si>
    <t>P032</t>
  </si>
  <si>
    <t>Self Raising Flour 1.5kg</t>
  </si>
  <si>
    <t>P013</t>
  </si>
  <si>
    <t>Seeded Bread 800g</t>
  </si>
  <si>
    <t>P034</t>
  </si>
  <si>
    <t>Salt 750g</t>
  </si>
  <si>
    <t>P020</t>
  </si>
  <si>
    <t>Long Grain Rice 1kg</t>
  </si>
  <si>
    <t>P005</t>
  </si>
  <si>
    <t>Greek Yogurt 500g</t>
  </si>
  <si>
    <t>P091</t>
  </si>
  <si>
    <t>Conditioner 400ml</t>
  </si>
  <si>
    <t>P039</t>
  </si>
  <si>
    <t>Chicken Thighs 1kg</t>
  </si>
  <si>
    <t>P018</t>
  </si>
  <si>
    <t>Coffee 200g</t>
  </si>
  <si>
    <t>P027</t>
  </si>
  <si>
    <t>Baked Beans 400g</t>
  </si>
  <si>
    <t>P012</t>
  </si>
  <si>
    <t>Wholemeal Bread 800g</t>
  </si>
  <si>
    <t>P060</t>
  </si>
  <si>
    <t>Peppers 3pk</t>
  </si>
  <si>
    <t>P016</t>
  </si>
  <si>
    <t>Baguette</t>
  </si>
  <si>
    <t>P070</t>
  </si>
  <si>
    <t>Tortilla Chips 200g</t>
  </si>
  <si>
    <t>P064</t>
  </si>
  <si>
    <t>Lemonade 2L</t>
  </si>
  <si>
    <t>P051</t>
  </si>
  <si>
    <t>Blueberries 200g</t>
  </si>
  <si>
    <t>P052</t>
  </si>
  <si>
    <t>Potatoes 2.5kg</t>
  </si>
  <si>
    <t>P015</t>
  </si>
  <si>
    <t>Crumpets 6pk</t>
  </si>
  <si>
    <t>P038</t>
  </si>
  <si>
    <t>Chicken Breast 1kg</t>
  </si>
  <si>
    <t>P046</t>
  </si>
  <si>
    <t>Apples 1kg</t>
  </si>
  <si>
    <t>P093</t>
  </si>
  <si>
    <t>Toothpaste 100ml</t>
  </si>
  <si>
    <t>P006</t>
  </si>
  <si>
    <t>Butter 250g</t>
  </si>
  <si>
    <t>P078</t>
  </si>
  <si>
    <t>Laundry Capsules 24pk</t>
  </si>
  <si>
    <t>P053</t>
  </si>
  <si>
    <t>Carrots 1kg</t>
  </si>
  <si>
    <t>P059</t>
  </si>
  <si>
    <t>Mixed Salad 250g</t>
  </si>
  <si>
    <t>P011</t>
  </si>
  <si>
    <t>White Bread 800g</t>
  </si>
  <si>
    <t>P024</t>
  </si>
  <si>
    <t>Cereal 500g</t>
  </si>
  <si>
    <t>P074</t>
  </si>
  <si>
    <t>Digestive Biscuits 400g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</si>
</sst>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£#,##0.00"/>
    <numFmt numFmtId="165" formatCode="\£0.00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4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5" numFmtId="10" xfId="0" applyFont="1" applyNumberFormat="1"/>
    <xf borderId="0" fillId="0" fontId="5" numFmtId="165" xfId="0" applyFont="1" applyNumberFormat="1"/>
    <xf borderId="0" fillId="0" fontId="5" numFmtId="164" xfId="0" applyFont="1" applyNumberFormat="1"/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'Practice Dataset'!$B$1:$B$1000</c:f>
            </c:strRef>
          </c:cat>
          <c:val>
            <c:numRef>
              <c:f>'Practice Dataset'!$F$1:$F$1000</c:f>
              <c:numCache/>
            </c:numRef>
          </c:val>
        </c:ser>
        <c:axId val="185055861"/>
        <c:axId val="1513754319"/>
      </c:barChart>
      <c:catAx>
        <c:axId val="185055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754319"/>
      </c:catAx>
      <c:valAx>
        <c:axId val="1513754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55861"/>
      </c:valAx>
      <c:lineChart>
        <c:varyColors val="0"/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'Practice Dataset'!$B$1:$B$1000</c:f>
            </c:strRef>
          </c:cat>
          <c:val>
            <c:numRef>
              <c:f>'Practice Dataset'!$H$1:$H$1000</c:f>
              <c:numCache/>
            </c:numRef>
          </c:val>
          <c:smooth val="0"/>
        </c:ser>
        <c:axId val="748861032"/>
        <c:axId val="545373178"/>
      </c:lineChart>
      <c:catAx>
        <c:axId val="748861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373178"/>
      </c:catAx>
      <c:valAx>
        <c:axId val="54537317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8610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247650</xdr:colOff>
      <xdr:row>5</xdr:row>
      <xdr:rowOff>28575</xdr:rowOff>
    </xdr:from>
    <xdr:ext cx="5715000" cy="3533775"/>
    <xdr:graphicFrame>
      <xdr:nvGraphicFramePr>
        <xdr:cNvPr id="125346594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247650</xdr:colOff>
      <xdr:row>44</xdr:row>
      <xdr:rowOff>28575</xdr:rowOff>
    </xdr:from>
    <xdr:ext cx="5715000" cy="3533775"/>
    <xdr:pic>
      <xdr:nvPicPr>
        <xdr:cNvPr id="97600833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65</xdr:row>
      <xdr:rowOff>28575</xdr:rowOff>
    </xdr:from>
    <xdr:ext cx="5715000" cy="3533775"/>
    <xdr:pic>
      <xdr:nvPicPr>
        <xdr:cNvPr id="2106793422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23.43"/>
    <col customWidth="1" min="3" max="3" width="13.43"/>
    <col customWidth="1" min="4" max="4" width="15.14"/>
    <col customWidth="1" min="5" max="5" width="19.71"/>
    <col customWidth="1" min="6" max="6" width="13.43"/>
    <col customWidth="1" min="7" max="7" width="19.71"/>
    <col customWidth="1" min="8" max="8" width="21.86"/>
    <col customWidth="1" min="9" max="26" width="8.71"/>
  </cols>
  <sheetData>
    <row r="1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8" t="s">
        <v>36</v>
      </c>
      <c r="G1" s="2" t="s">
        <v>37</v>
      </c>
      <c r="H1" s="9" t="s">
        <v>38</v>
      </c>
      <c r="I1" s="8" t="s">
        <v>39</v>
      </c>
    </row>
    <row r="2">
      <c r="A2" s="2" t="s">
        <v>40</v>
      </c>
      <c r="B2" s="2" t="s">
        <v>41</v>
      </c>
      <c r="C2" s="2" t="s">
        <v>42</v>
      </c>
      <c r="D2" s="2">
        <v>1346.0</v>
      </c>
      <c r="E2" s="10">
        <v>8.5</v>
      </c>
      <c r="F2" s="11">
        <f t="shared" ref="F2:F104" si="1">D2*E2</f>
        <v>11441</v>
      </c>
      <c r="G2" s="11">
        <f>F2</f>
        <v>11441</v>
      </c>
      <c r="H2" s="9">
        <f t="shared" ref="H2:H104" si="2">G2/$F$105</f>
        <v>0.03426058612</v>
      </c>
      <c r="I2" s="2" t="str">
        <f t="shared" ref="I2:I104" si="3">IF(H2&lt;=80%,"A",IF(H2&lt;=95%,"B","C"))</f>
        <v>A</v>
      </c>
      <c r="K2" s="3" t="s">
        <v>43</v>
      </c>
    </row>
    <row r="3">
      <c r="A3" s="2" t="s">
        <v>44</v>
      </c>
      <c r="B3" s="2" t="s">
        <v>45</v>
      </c>
      <c r="C3" s="2" t="s">
        <v>46</v>
      </c>
      <c r="D3" s="2">
        <v>1241.0</v>
      </c>
      <c r="E3" s="10">
        <v>8.76</v>
      </c>
      <c r="F3" s="11">
        <f t="shared" si="1"/>
        <v>10871.16</v>
      </c>
      <c r="G3" s="11">
        <f t="shared" ref="G3:G104" si="4">G2+F3</f>
        <v>22312.16</v>
      </c>
      <c r="H3" s="9">
        <f t="shared" si="2"/>
        <v>0.06681476088</v>
      </c>
      <c r="I3" s="2" t="str">
        <f t="shared" si="3"/>
        <v>A</v>
      </c>
    </row>
    <row r="4">
      <c r="A4" s="2" t="s">
        <v>47</v>
      </c>
      <c r="B4" s="2" t="s">
        <v>48</v>
      </c>
      <c r="C4" s="2" t="s">
        <v>42</v>
      </c>
      <c r="D4" s="2">
        <v>1390.0</v>
      </c>
      <c r="E4" s="10">
        <v>6.79</v>
      </c>
      <c r="F4" s="11">
        <f t="shared" si="1"/>
        <v>9438.1</v>
      </c>
      <c r="G4" s="11">
        <f t="shared" si="4"/>
        <v>31750.26</v>
      </c>
      <c r="H4" s="9">
        <f t="shared" si="2"/>
        <v>0.09507757338</v>
      </c>
      <c r="I4" s="2" t="str">
        <f t="shared" si="3"/>
        <v>A</v>
      </c>
      <c r="K4" s="3" t="s">
        <v>49</v>
      </c>
    </row>
    <row r="5">
      <c r="A5" s="2" t="s">
        <v>50</v>
      </c>
      <c r="B5" s="2" t="s">
        <v>51</v>
      </c>
      <c r="C5" s="2" t="s">
        <v>52</v>
      </c>
      <c r="D5" s="2">
        <v>1160.0</v>
      </c>
      <c r="E5" s="10">
        <v>8.04</v>
      </c>
      <c r="F5" s="11">
        <f t="shared" si="1"/>
        <v>9326.4</v>
      </c>
      <c r="G5" s="11">
        <f t="shared" si="4"/>
        <v>41076.66</v>
      </c>
      <c r="H5" s="9">
        <f t="shared" si="2"/>
        <v>0.1230058952</v>
      </c>
      <c r="I5" s="2" t="str">
        <f t="shared" si="3"/>
        <v>A</v>
      </c>
    </row>
    <row r="6">
      <c r="A6" s="2" t="s">
        <v>53</v>
      </c>
      <c r="B6" s="2" t="s">
        <v>54</v>
      </c>
      <c r="C6" s="2" t="s">
        <v>46</v>
      </c>
      <c r="D6" s="2">
        <v>1396.0</v>
      </c>
      <c r="E6" s="10">
        <v>6.25</v>
      </c>
      <c r="F6" s="11">
        <f t="shared" si="1"/>
        <v>8725</v>
      </c>
      <c r="G6" s="11">
        <f t="shared" si="4"/>
        <v>49801.66</v>
      </c>
      <c r="H6" s="9">
        <f t="shared" si="2"/>
        <v>0.1491332979</v>
      </c>
      <c r="I6" s="2" t="str">
        <f t="shared" si="3"/>
        <v>A</v>
      </c>
    </row>
    <row r="7">
      <c r="A7" s="2" t="s">
        <v>55</v>
      </c>
      <c r="B7" s="2" t="s">
        <v>56</v>
      </c>
      <c r="C7" s="2" t="s">
        <v>52</v>
      </c>
      <c r="D7" s="2">
        <v>1184.0</v>
      </c>
      <c r="E7" s="10">
        <v>7.16</v>
      </c>
      <c r="F7" s="11">
        <f t="shared" si="1"/>
        <v>8477.44</v>
      </c>
      <c r="G7" s="11">
        <f t="shared" si="4"/>
        <v>58279.1</v>
      </c>
      <c r="H7" s="9">
        <f t="shared" si="2"/>
        <v>0.1745193711</v>
      </c>
      <c r="I7" s="2" t="str">
        <f t="shared" si="3"/>
        <v>A</v>
      </c>
    </row>
    <row r="8">
      <c r="A8" s="2" t="s">
        <v>57</v>
      </c>
      <c r="B8" s="2" t="s">
        <v>58</v>
      </c>
      <c r="C8" s="2" t="s">
        <v>52</v>
      </c>
      <c r="D8" s="2">
        <v>1170.0</v>
      </c>
      <c r="E8" s="10">
        <v>7.24</v>
      </c>
      <c r="F8" s="11">
        <f t="shared" si="1"/>
        <v>8470.8</v>
      </c>
      <c r="G8" s="11">
        <f t="shared" si="4"/>
        <v>66749.9</v>
      </c>
      <c r="H8" s="9">
        <f t="shared" si="2"/>
        <v>0.1998855605</v>
      </c>
      <c r="I8" s="2" t="str">
        <f t="shared" si="3"/>
        <v>A</v>
      </c>
    </row>
    <row r="9">
      <c r="A9" s="2" t="s">
        <v>59</v>
      </c>
      <c r="B9" s="2" t="s">
        <v>60</v>
      </c>
      <c r="C9" s="2" t="s">
        <v>52</v>
      </c>
      <c r="D9" s="2">
        <v>946.0</v>
      </c>
      <c r="E9" s="10">
        <v>8.73</v>
      </c>
      <c r="F9" s="11">
        <f t="shared" si="1"/>
        <v>8258.58</v>
      </c>
      <c r="G9" s="11">
        <f t="shared" si="4"/>
        <v>75008.48</v>
      </c>
      <c r="H9" s="9">
        <f t="shared" si="2"/>
        <v>0.2246162476</v>
      </c>
      <c r="I9" s="2" t="str">
        <f t="shared" si="3"/>
        <v>A</v>
      </c>
    </row>
    <row r="10">
      <c r="A10" s="2" t="s">
        <v>61</v>
      </c>
      <c r="B10" s="2" t="s">
        <v>62</v>
      </c>
      <c r="C10" s="2" t="s">
        <v>52</v>
      </c>
      <c r="D10" s="2">
        <v>1075.0</v>
      </c>
      <c r="E10" s="10">
        <v>7.62</v>
      </c>
      <c r="F10" s="11">
        <f t="shared" si="1"/>
        <v>8191.5</v>
      </c>
      <c r="G10" s="11">
        <f t="shared" si="4"/>
        <v>83199.98</v>
      </c>
      <c r="H10" s="9">
        <f t="shared" si="2"/>
        <v>0.2491460607</v>
      </c>
      <c r="I10" s="2" t="str">
        <f t="shared" si="3"/>
        <v>A</v>
      </c>
    </row>
    <row r="11">
      <c r="A11" s="2" t="s">
        <v>63</v>
      </c>
      <c r="B11" s="2" t="s">
        <v>64</v>
      </c>
      <c r="C11" s="2" t="s">
        <v>52</v>
      </c>
      <c r="D11" s="2">
        <v>897.0</v>
      </c>
      <c r="E11" s="10">
        <v>8.96</v>
      </c>
      <c r="F11" s="11">
        <f t="shared" si="1"/>
        <v>8037.12</v>
      </c>
      <c r="G11" s="11">
        <f t="shared" si="4"/>
        <v>91237.1</v>
      </c>
      <c r="H11" s="9">
        <f t="shared" si="2"/>
        <v>0.2732135759</v>
      </c>
      <c r="I11" s="2" t="str">
        <f t="shared" si="3"/>
        <v>A</v>
      </c>
    </row>
    <row r="12">
      <c r="A12" s="2" t="s">
        <v>65</v>
      </c>
      <c r="B12" s="2" t="s">
        <v>66</v>
      </c>
      <c r="C12" s="2" t="s">
        <v>67</v>
      </c>
      <c r="D12" s="2">
        <v>1249.0</v>
      </c>
      <c r="E12" s="10">
        <v>6.03</v>
      </c>
      <c r="F12" s="11">
        <f t="shared" si="1"/>
        <v>7531.47</v>
      </c>
      <c r="G12" s="11">
        <f t="shared" si="4"/>
        <v>98768.57</v>
      </c>
      <c r="H12" s="9">
        <f t="shared" si="2"/>
        <v>0.2957668996</v>
      </c>
      <c r="I12" s="2" t="str">
        <f t="shared" si="3"/>
        <v>A</v>
      </c>
    </row>
    <row r="13">
      <c r="A13" s="2" t="s">
        <v>68</v>
      </c>
      <c r="B13" s="2" t="s">
        <v>69</v>
      </c>
      <c r="C13" s="2" t="s">
        <v>46</v>
      </c>
      <c r="D13" s="2">
        <v>1102.0</v>
      </c>
      <c r="E13" s="10">
        <v>5.87</v>
      </c>
      <c r="F13" s="11">
        <f t="shared" si="1"/>
        <v>6468.74</v>
      </c>
      <c r="G13" s="11">
        <f t="shared" si="4"/>
        <v>105237.31</v>
      </c>
      <c r="H13" s="9">
        <f t="shared" si="2"/>
        <v>0.3151378308</v>
      </c>
      <c r="I13" s="2" t="str">
        <f t="shared" si="3"/>
        <v>A</v>
      </c>
    </row>
    <row r="14">
      <c r="A14" s="2" t="s">
        <v>70</v>
      </c>
      <c r="B14" s="2" t="s">
        <v>71</v>
      </c>
      <c r="C14" s="2" t="s">
        <v>42</v>
      </c>
      <c r="D14" s="2">
        <v>1008.0</v>
      </c>
      <c r="E14" s="10">
        <v>6.33</v>
      </c>
      <c r="F14" s="11">
        <f t="shared" si="1"/>
        <v>6380.64</v>
      </c>
      <c r="G14" s="11">
        <f t="shared" si="4"/>
        <v>111617.95</v>
      </c>
      <c r="H14" s="9">
        <f t="shared" si="2"/>
        <v>0.3342449426</v>
      </c>
      <c r="I14" s="2" t="str">
        <f t="shared" si="3"/>
        <v>A</v>
      </c>
    </row>
    <row r="15">
      <c r="A15" s="2" t="s">
        <v>72</v>
      </c>
      <c r="B15" s="2" t="s">
        <v>73</v>
      </c>
      <c r="C15" s="2" t="s">
        <v>74</v>
      </c>
      <c r="D15" s="2">
        <v>1179.0</v>
      </c>
      <c r="E15" s="10">
        <v>5.13</v>
      </c>
      <c r="F15" s="11">
        <f t="shared" si="1"/>
        <v>6048.27</v>
      </c>
      <c r="G15" s="11">
        <f t="shared" si="4"/>
        <v>117666.22</v>
      </c>
      <c r="H15" s="9">
        <f t="shared" si="2"/>
        <v>0.3523567576</v>
      </c>
      <c r="I15" s="2" t="str">
        <f t="shared" si="3"/>
        <v>A</v>
      </c>
    </row>
    <row r="16">
      <c r="A16" s="2" t="s">
        <v>75</v>
      </c>
      <c r="B16" s="2" t="s">
        <v>76</v>
      </c>
      <c r="C16" s="2" t="s">
        <v>77</v>
      </c>
      <c r="D16" s="2">
        <v>1166.0</v>
      </c>
      <c r="E16" s="10">
        <v>5.13</v>
      </c>
      <c r="F16" s="11">
        <f t="shared" si="1"/>
        <v>5981.58</v>
      </c>
      <c r="G16" s="11">
        <f t="shared" si="4"/>
        <v>123647.8</v>
      </c>
      <c r="H16" s="9">
        <f t="shared" si="2"/>
        <v>0.3702688664</v>
      </c>
      <c r="I16" s="2" t="str">
        <f t="shared" si="3"/>
        <v>A</v>
      </c>
    </row>
    <row r="17">
      <c r="A17" s="2" t="s">
        <v>78</v>
      </c>
      <c r="B17" s="2" t="s">
        <v>79</v>
      </c>
      <c r="C17" s="2" t="s">
        <v>52</v>
      </c>
      <c r="D17" s="2">
        <v>1139.0</v>
      </c>
      <c r="E17" s="10">
        <v>4.89</v>
      </c>
      <c r="F17" s="11">
        <f t="shared" si="1"/>
        <v>5569.71</v>
      </c>
      <c r="G17" s="11">
        <f t="shared" si="4"/>
        <v>129217.51</v>
      </c>
      <c r="H17" s="9">
        <f t="shared" si="2"/>
        <v>0.3869476121</v>
      </c>
      <c r="I17" s="2" t="str">
        <f t="shared" si="3"/>
        <v>A</v>
      </c>
    </row>
    <row r="18">
      <c r="A18" s="2" t="s">
        <v>80</v>
      </c>
      <c r="B18" s="2" t="s">
        <v>81</v>
      </c>
      <c r="C18" s="2" t="s">
        <v>42</v>
      </c>
      <c r="D18" s="2">
        <v>680.0</v>
      </c>
      <c r="E18" s="10">
        <v>8.02</v>
      </c>
      <c r="F18" s="11">
        <f t="shared" si="1"/>
        <v>5453.6</v>
      </c>
      <c r="G18" s="11">
        <f t="shared" si="4"/>
        <v>134671.11</v>
      </c>
      <c r="H18" s="9">
        <f t="shared" si="2"/>
        <v>0.4032786611</v>
      </c>
      <c r="I18" s="2" t="str">
        <f t="shared" si="3"/>
        <v>A</v>
      </c>
    </row>
    <row r="19">
      <c r="A19" s="2" t="s">
        <v>82</v>
      </c>
      <c r="B19" s="2" t="s">
        <v>83</v>
      </c>
      <c r="C19" s="2" t="s">
        <v>84</v>
      </c>
      <c r="D19" s="2">
        <v>1213.0</v>
      </c>
      <c r="E19" s="10">
        <v>4.01</v>
      </c>
      <c r="F19" s="11">
        <f t="shared" si="1"/>
        <v>4864.13</v>
      </c>
      <c r="G19" s="11">
        <f t="shared" si="4"/>
        <v>139535.24</v>
      </c>
      <c r="H19" s="9">
        <f t="shared" si="2"/>
        <v>0.4178445159</v>
      </c>
      <c r="I19" s="2" t="str">
        <f t="shared" si="3"/>
        <v>A</v>
      </c>
    </row>
    <row r="20">
      <c r="A20" s="2" t="s">
        <v>85</v>
      </c>
      <c r="B20" s="2" t="s">
        <v>86</v>
      </c>
      <c r="C20" s="2" t="s">
        <v>42</v>
      </c>
      <c r="D20" s="2">
        <v>820.0</v>
      </c>
      <c r="E20" s="10">
        <v>5.82</v>
      </c>
      <c r="F20" s="11">
        <f t="shared" si="1"/>
        <v>4772.4</v>
      </c>
      <c r="G20" s="11">
        <f t="shared" si="4"/>
        <v>144307.64</v>
      </c>
      <c r="H20" s="9">
        <f t="shared" si="2"/>
        <v>0.4321356811</v>
      </c>
      <c r="I20" s="2" t="str">
        <f t="shared" si="3"/>
        <v>A</v>
      </c>
    </row>
    <row r="21" ht="15.75" customHeight="1">
      <c r="A21" s="2" t="s">
        <v>87</v>
      </c>
      <c r="B21" s="2" t="s">
        <v>88</v>
      </c>
      <c r="C21" s="2" t="s">
        <v>42</v>
      </c>
      <c r="D21" s="2">
        <v>784.0</v>
      </c>
      <c r="E21" s="10">
        <v>6.05</v>
      </c>
      <c r="F21" s="11">
        <f t="shared" si="1"/>
        <v>4743.2</v>
      </c>
      <c r="G21" s="11">
        <f t="shared" si="4"/>
        <v>149050.84</v>
      </c>
      <c r="H21" s="9">
        <f t="shared" si="2"/>
        <v>0.4463394057</v>
      </c>
      <c r="I21" s="2" t="str">
        <f t="shared" si="3"/>
        <v>A</v>
      </c>
    </row>
    <row r="22" ht="15.75" customHeight="1">
      <c r="A22" s="2" t="s">
        <v>89</v>
      </c>
      <c r="B22" s="2" t="s">
        <v>90</v>
      </c>
      <c r="C22" s="2" t="s">
        <v>52</v>
      </c>
      <c r="D22" s="2">
        <v>573.0</v>
      </c>
      <c r="E22" s="10">
        <v>8.09</v>
      </c>
      <c r="F22" s="11">
        <f t="shared" si="1"/>
        <v>4635.57</v>
      </c>
      <c r="G22" s="11">
        <f t="shared" si="4"/>
        <v>153686.41</v>
      </c>
      <c r="H22" s="9">
        <f t="shared" si="2"/>
        <v>0.4602208273</v>
      </c>
      <c r="I22" s="2" t="str">
        <f t="shared" si="3"/>
        <v>A</v>
      </c>
    </row>
    <row r="23" ht="15.75" customHeight="1">
      <c r="A23" s="2" t="s">
        <v>91</v>
      </c>
      <c r="B23" s="2" t="s">
        <v>92</v>
      </c>
      <c r="C23" s="2" t="s">
        <v>46</v>
      </c>
      <c r="D23" s="2">
        <v>901.0</v>
      </c>
      <c r="E23" s="10">
        <v>5.11</v>
      </c>
      <c r="F23" s="11">
        <f t="shared" si="1"/>
        <v>4604.11</v>
      </c>
      <c r="G23" s="11">
        <f t="shared" si="4"/>
        <v>158290.52</v>
      </c>
      <c r="H23" s="9">
        <f t="shared" si="2"/>
        <v>0.4740080406</v>
      </c>
      <c r="I23" s="2" t="str">
        <f t="shared" si="3"/>
        <v>A</v>
      </c>
    </row>
    <row r="24" ht="15.75" customHeight="1">
      <c r="A24" s="2" t="s">
        <v>93</v>
      </c>
      <c r="B24" s="2" t="s">
        <v>94</v>
      </c>
      <c r="C24" s="2" t="s">
        <v>46</v>
      </c>
      <c r="D24" s="2">
        <v>512.0</v>
      </c>
      <c r="E24" s="10">
        <v>8.98</v>
      </c>
      <c r="F24" s="11">
        <f t="shared" si="1"/>
        <v>4597.76</v>
      </c>
      <c r="G24" s="11">
        <f t="shared" si="4"/>
        <v>162888.28</v>
      </c>
      <c r="H24" s="9">
        <f t="shared" si="2"/>
        <v>0.4877762385</v>
      </c>
      <c r="I24" s="2" t="str">
        <f t="shared" si="3"/>
        <v>A</v>
      </c>
    </row>
    <row r="25" ht="15.75" customHeight="1">
      <c r="A25" s="2" t="s">
        <v>95</v>
      </c>
      <c r="B25" s="2" t="s">
        <v>96</v>
      </c>
      <c r="C25" s="2" t="s">
        <v>42</v>
      </c>
      <c r="D25" s="2">
        <v>626.0</v>
      </c>
      <c r="E25" s="10">
        <v>6.91</v>
      </c>
      <c r="F25" s="11">
        <f t="shared" si="1"/>
        <v>4325.66</v>
      </c>
      <c r="G25" s="11">
        <f t="shared" si="4"/>
        <v>167213.94</v>
      </c>
      <c r="H25" s="9">
        <f t="shared" si="2"/>
        <v>0.5007296208</v>
      </c>
      <c r="I25" s="2" t="str">
        <f t="shared" si="3"/>
        <v>A</v>
      </c>
    </row>
    <row r="26" ht="15.75" customHeight="1">
      <c r="A26" s="2" t="s">
        <v>97</v>
      </c>
      <c r="B26" s="2" t="s">
        <v>98</v>
      </c>
      <c r="C26" s="2" t="s">
        <v>67</v>
      </c>
      <c r="D26" s="2">
        <v>577.0</v>
      </c>
      <c r="E26" s="10">
        <v>7.49</v>
      </c>
      <c r="F26" s="11">
        <f t="shared" si="1"/>
        <v>4321.73</v>
      </c>
      <c r="G26" s="11">
        <f t="shared" si="4"/>
        <v>171535.67</v>
      </c>
      <c r="H26" s="9">
        <f t="shared" si="2"/>
        <v>0.5136712346</v>
      </c>
      <c r="I26" s="2" t="str">
        <f t="shared" si="3"/>
        <v>A</v>
      </c>
    </row>
    <row r="27" ht="15.75" customHeight="1">
      <c r="A27" s="2" t="s">
        <v>99</v>
      </c>
      <c r="B27" s="2" t="s">
        <v>100</v>
      </c>
      <c r="C27" s="2" t="s">
        <v>101</v>
      </c>
      <c r="D27" s="2">
        <v>1114.0</v>
      </c>
      <c r="E27" s="10">
        <v>3.79</v>
      </c>
      <c r="F27" s="11">
        <f t="shared" si="1"/>
        <v>4222.06</v>
      </c>
      <c r="G27" s="11">
        <f t="shared" si="4"/>
        <v>175757.73</v>
      </c>
      <c r="H27" s="9">
        <f t="shared" si="2"/>
        <v>0.526314382</v>
      </c>
      <c r="I27" s="2" t="str">
        <f t="shared" si="3"/>
        <v>A</v>
      </c>
    </row>
    <row r="28" ht="15.75" customHeight="1">
      <c r="A28" s="2" t="s">
        <v>102</v>
      </c>
      <c r="B28" s="2" t="s">
        <v>103</v>
      </c>
      <c r="C28" s="2" t="s">
        <v>77</v>
      </c>
      <c r="D28" s="2">
        <v>1119.0</v>
      </c>
      <c r="E28" s="10">
        <v>3.74</v>
      </c>
      <c r="F28" s="11">
        <f t="shared" si="1"/>
        <v>4185.06</v>
      </c>
      <c r="G28" s="11">
        <f t="shared" si="4"/>
        <v>179942.79</v>
      </c>
      <c r="H28" s="9">
        <f t="shared" si="2"/>
        <v>0.5388467314</v>
      </c>
      <c r="I28" s="2" t="str">
        <f t="shared" si="3"/>
        <v>A</v>
      </c>
    </row>
    <row r="29" ht="15.75" customHeight="1">
      <c r="A29" s="2" t="s">
        <v>104</v>
      </c>
      <c r="B29" s="2" t="s">
        <v>105</v>
      </c>
      <c r="C29" s="2" t="s">
        <v>42</v>
      </c>
      <c r="D29" s="2">
        <v>546.0</v>
      </c>
      <c r="E29" s="10">
        <v>7.53</v>
      </c>
      <c r="F29" s="11">
        <f t="shared" si="1"/>
        <v>4111.38</v>
      </c>
      <c r="G29" s="11">
        <f t="shared" si="4"/>
        <v>184054.17</v>
      </c>
      <c r="H29" s="9">
        <f t="shared" si="2"/>
        <v>0.5511584426</v>
      </c>
      <c r="I29" s="2" t="str">
        <f t="shared" si="3"/>
        <v>A</v>
      </c>
    </row>
    <row r="30" ht="15.75" customHeight="1">
      <c r="A30" s="2" t="s">
        <v>106</v>
      </c>
      <c r="B30" s="2" t="s">
        <v>107</v>
      </c>
      <c r="C30" s="2" t="s">
        <v>77</v>
      </c>
      <c r="D30" s="2">
        <v>823.0</v>
      </c>
      <c r="E30" s="10">
        <v>4.95</v>
      </c>
      <c r="F30" s="11">
        <f t="shared" si="1"/>
        <v>4073.85</v>
      </c>
      <c r="G30" s="11">
        <f t="shared" si="4"/>
        <v>188128.02</v>
      </c>
      <c r="H30" s="9">
        <f t="shared" si="2"/>
        <v>0.5633577686</v>
      </c>
      <c r="I30" s="2" t="str">
        <f t="shared" si="3"/>
        <v>A</v>
      </c>
    </row>
    <row r="31" ht="15.75" customHeight="1">
      <c r="A31" s="2" t="s">
        <v>108</v>
      </c>
      <c r="B31" s="2" t="s">
        <v>109</v>
      </c>
      <c r="C31" s="2" t="s">
        <v>52</v>
      </c>
      <c r="D31" s="2">
        <v>844.0</v>
      </c>
      <c r="E31" s="10">
        <v>4.79</v>
      </c>
      <c r="F31" s="11">
        <f t="shared" si="1"/>
        <v>4042.76</v>
      </c>
      <c r="G31" s="11">
        <f t="shared" si="4"/>
        <v>192170.78</v>
      </c>
      <c r="H31" s="9">
        <f t="shared" si="2"/>
        <v>0.5754639942</v>
      </c>
      <c r="I31" s="2" t="str">
        <f t="shared" si="3"/>
        <v>A</v>
      </c>
    </row>
    <row r="32" ht="15.75" customHeight="1">
      <c r="A32" s="2" t="s">
        <v>110</v>
      </c>
      <c r="B32" s="2" t="s">
        <v>111</v>
      </c>
      <c r="C32" s="2" t="s">
        <v>74</v>
      </c>
      <c r="D32" s="2">
        <v>1392.0</v>
      </c>
      <c r="E32" s="10">
        <v>2.87</v>
      </c>
      <c r="F32" s="11">
        <f t="shared" si="1"/>
        <v>3995.04</v>
      </c>
      <c r="G32" s="11">
        <f t="shared" si="4"/>
        <v>196165.82</v>
      </c>
      <c r="H32" s="9">
        <f t="shared" si="2"/>
        <v>0.5874273202</v>
      </c>
      <c r="I32" s="2" t="str">
        <f t="shared" si="3"/>
        <v>A</v>
      </c>
    </row>
    <row r="33" ht="15.75" customHeight="1">
      <c r="A33" s="2" t="s">
        <v>112</v>
      </c>
      <c r="B33" s="2" t="s">
        <v>113</v>
      </c>
      <c r="C33" s="2" t="s">
        <v>74</v>
      </c>
      <c r="D33" s="2">
        <v>619.0</v>
      </c>
      <c r="E33" s="10">
        <v>6.35</v>
      </c>
      <c r="F33" s="11">
        <f t="shared" si="1"/>
        <v>3930.65</v>
      </c>
      <c r="G33" s="11">
        <f t="shared" si="4"/>
        <v>200096.47</v>
      </c>
      <c r="H33" s="9">
        <f t="shared" si="2"/>
        <v>0.5991978274</v>
      </c>
      <c r="I33" s="2" t="str">
        <f t="shared" si="3"/>
        <v>A</v>
      </c>
      <c r="K33" s="3" t="s">
        <v>114</v>
      </c>
    </row>
    <row r="34" ht="15.75" customHeight="1">
      <c r="A34" s="2" t="s">
        <v>115</v>
      </c>
      <c r="B34" s="2" t="s">
        <v>116</v>
      </c>
      <c r="C34" s="2" t="s">
        <v>74</v>
      </c>
      <c r="D34" s="2">
        <v>691.0</v>
      </c>
      <c r="E34" s="10">
        <v>5.63</v>
      </c>
      <c r="F34" s="11">
        <f t="shared" si="1"/>
        <v>3890.33</v>
      </c>
      <c r="G34" s="11">
        <f t="shared" si="4"/>
        <v>203986.8</v>
      </c>
      <c r="H34" s="9">
        <f t="shared" si="2"/>
        <v>0.6108475945</v>
      </c>
      <c r="I34" s="2" t="str">
        <f t="shared" si="3"/>
        <v>A</v>
      </c>
    </row>
    <row r="35" ht="15.75" customHeight="1">
      <c r="A35" s="2" t="s">
        <v>117</v>
      </c>
      <c r="B35" s="2" t="s">
        <v>118</v>
      </c>
      <c r="C35" s="2" t="s">
        <v>67</v>
      </c>
      <c r="D35" s="2">
        <v>1074.0</v>
      </c>
      <c r="E35" s="10">
        <v>3.5</v>
      </c>
      <c r="F35" s="11">
        <f t="shared" si="1"/>
        <v>3759</v>
      </c>
      <c r="G35" s="11">
        <f t="shared" si="4"/>
        <v>207745.8</v>
      </c>
      <c r="H35" s="9">
        <f t="shared" si="2"/>
        <v>0.6221040881</v>
      </c>
      <c r="I35" s="2" t="str">
        <f t="shared" si="3"/>
        <v>A</v>
      </c>
      <c r="K35" s="3" t="s">
        <v>119</v>
      </c>
    </row>
    <row r="36" ht="15.75" customHeight="1">
      <c r="A36" s="2" t="s">
        <v>120</v>
      </c>
      <c r="B36" s="2" t="s">
        <v>121</v>
      </c>
      <c r="C36" s="2" t="s">
        <v>101</v>
      </c>
      <c r="D36" s="2">
        <v>999.0</v>
      </c>
      <c r="E36" s="10">
        <v>3.73</v>
      </c>
      <c r="F36" s="11">
        <f t="shared" si="1"/>
        <v>3726.27</v>
      </c>
      <c r="G36" s="11">
        <f t="shared" si="4"/>
        <v>211472.07</v>
      </c>
      <c r="H36" s="9">
        <f t="shared" si="2"/>
        <v>0.6332625702</v>
      </c>
      <c r="I36" s="2" t="str">
        <f t="shared" si="3"/>
        <v>A</v>
      </c>
    </row>
    <row r="37" ht="15.75" customHeight="1">
      <c r="A37" s="2" t="s">
        <v>122</v>
      </c>
      <c r="B37" s="2" t="s">
        <v>123</v>
      </c>
      <c r="C37" s="2" t="s">
        <v>101</v>
      </c>
      <c r="D37" s="2">
        <v>1196.0</v>
      </c>
      <c r="E37" s="10">
        <v>3.0</v>
      </c>
      <c r="F37" s="11">
        <f t="shared" si="1"/>
        <v>3588</v>
      </c>
      <c r="G37" s="11">
        <f t="shared" si="4"/>
        <v>215060.07</v>
      </c>
      <c r="H37" s="9">
        <f t="shared" si="2"/>
        <v>0.6440069967</v>
      </c>
      <c r="I37" s="2" t="str">
        <f t="shared" si="3"/>
        <v>A</v>
      </c>
      <c r="K37" s="3" t="s">
        <v>124</v>
      </c>
    </row>
    <row r="38" ht="15.75" customHeight="1">
      <c r="A38" s="2" t="s">
        <v>125</v>
      </c>
      <c r="B38" s="2" t="s">
        <v>126</v>
      </c>
      <c r="C38" s="2" t="s">
        <v>42</v>
      </c>
      <c r="D38" s="2">
        <v>529.0</v>
      </c>
      <c r="E38" s="10">
        <v>6.76</v>
      </c>
      <c r="F38" s="11">
        <f t="shared" si="1"/>
        <v>3576.04</v>
      </c>
      <c r="G38" s="11">
        <f t="shared" si="4"/>
        <v>218636.11</v>
      </c>
      <c r="H38" s="9">
        <f t="shared" si="2"/>
        <v>0.6547156084</v>
      </c>
      <c r="I38" s="2" t="str">
        <f t="shared" si="3"/>
        <v>A</v>
      </c>
    </row>
    <row r="39" ht="15.75" customHeight="1">
      <c r="A39" s="2" t="s">
        <v>127</v>
      </c>
      <c r="B39" s="2" t="s">
        <v>128</v>
      </c>
      <c r="C39" s="2" t="s">
        <v>84</v>
      </c>
      <c r="D39" s="2">
        <v>1229.0</v>
      </c>
      <c r="E39" s="10">
        <v>2.89</v>
      </c>
      <c r="F39" s="11">
        <f t="shared" si="1"/>
        <v>3551.81</v>
      </c>
      <c r="G39" s="11">
        <f t="shared" si="4"/>
        <v>222187.92</v>
      </c>
      <c r="H39" s="9">
        <f t="shared" si="2"/>
        <v>0.6653516623</v>
      </c>
      <c r="I39" s="2" t="str">
        <f t="shared" si="3"/>
        <v>A</v>
      </c>
      <c r="K39" s="3" t="s">
        <v>129</v>
      </c>
    </row>
    <row r="40" ht="15.75" customHeight="1">
      <c r="A40" s="2" t="s">
        <v>130</v>
      </c>
      <c r="B40" s="2" t="s">
        <v>131</v>
      </c>
      <c r="C40" s="2" t="s">
        <v>132</v>
      </c>
      <c r="D40" s="2">
        <v>1214.0</v>
      </c>
      <c r="E40" s="10">
        <v>2.88</v>
      </c>
      <c r="F40" s="11">
        <f t="shared" si="1"/>
        <v>3496.32</v>
      </c>
      <c r="G40" s="11">
        <f t="shared" si="4"/>
        <v>225684.24</v>
      </c>
      <c r="H40" s="9">
        <f t="shared" si="2"/>
        <v>0.6758215489</v>
      </c>
      <c r="I40" s="2" t="str">
        <f t="shared" si="3"/>
        <v>A</v>
      </c>
    </row>
    <row r="41" ht="15.75" customHeight="1">
      <c r="A41" s="2" t="s">
        <v>133</v>
      </c>
      <c r="B41" s="2" t="s">
        <v>134</v>
      </c>
      <c r="C41" s="2" t="s">
        <v>46</v>
      </c>
      <c r="D41" s="2">
        <v>724.0</v>
      </c>
      <c r="E41" s="10">
        <v>4.78</v>
      </c>
      <c r="F41" s="11">
        <f t="shared" si="1"/>
        <v>3460.72</v>
      </c>
      <c r="G41" s="11">
        <f t="shared" si="4"/>
        <v>229144.96</v>
      </c>
      <c r="H41" s="9">
        <f t="shared" si="2"/>
        <v>0.6861848296</v>
      </c>
      <c r="I41" s="2" t="str">
        <f t="shared" si="3"/>
        <v>A</v>
      </c>
      <c r="K41" s="3" t="s">
        <v>135</v>
      </c>
    </row>
    <row r="42" ht="15.75" customHeight="1">
      <c r="A42" s="2" t="s">
        <v>136</v>
      </c>
      <c r="B42" s="2" t="s">
        <v>137</v>
      </c>
      <c r="C42" s="2" t="s">
        <v>52</v>
      </c>
      <c r="D42" s="2">
        <v>491.0</v>
      </c>
      <c r="E42" s="10">
        <v>6.85</v>
      </c>
      <c r="F42" s="11">
        <f t="shared" si="1"/>
        <v>3363.35</v>
      </c>
      <c r="G42" s="11">
        <f t="shared" si="4"/>
        <v>232508.31</v>
      </c>
      <c r="H42" s="9">
        <f t="shared" si="2"/>
        <v>0.6962565316</v>
      </c>
      <c r="I42" s="2" t="str">
        <f t="shared" si="3"/>
        <v>A</v>
      </c>
    </row>
    <row r="43" ht="15.75" customHeight="1">
      <c r="A43" s="2" t="s">
        <v>138</v>
      </c>
      <c r="B43" s="2" t="s">
        <v>139</v>
      </c>
      <c r="C43" s="2" t="s">
        <v>52</v>
      </c>
      <c r="D43" s="2">
        <v>1205.0</v>
      </c>
      <c r="E43" s="10">
        <v>2.74</v>
      </c>
      <c r="F43" s="11">
        <f t="shared" si="1"/>
        <v>3301.7</v>
      </c>
      <c r="G43" s="11">
        <f t="shared" si="4"/>
        <v>235810.01</v>
      </c>
      <c r="H43" s="9">
        <f t="shared" si="2"/>
        <v>0.7061436199</v>
      </c>
      <c r="I43" s="2" t="str">
        <f t="shared" si="3"/>
        <v>A</v>
      </c>
    </row>
    <row r="44" ht="15.75" customHeight="1">
      <c r="A44" s="2" t="s">
        <v>140</v>
      </c>
      <c r="B44" s="2" t="s">
        <v>141</v>
      </c>
      <c r="C44" s="2" t="s">
        <v>77</v>
      </c>
      <c r="D44" s="2">
        <v>1306.0</v>
      </c>
      <c r="E44" s="10">
        <v>2.46</v>
      </c>
      <c r="F44" s="11">
        <f t="shared" si="1"/>
        <v>3212.76</v>
      </c>
      <c r="G44" s="11">
        <f t="shared" si="4"/>
        <v>239022.77</v>
      </c>
      <c r="H44" s="9">
        <f t="shared" si="2"/>
        <v>0.7157643734</v>
      </c>
      <c r="I44" s="2" t="str">
        <f t="shared" si="3"/>
        <v>A</v>
      </c>
    </row>
    <row r="45" ht="15.75" customHeight="1">
      <c r="A45" s="2" t="s">
        <v>142</v>
      </c>
      <c r="B45" s="2" t="s">
        <v>143</v>
      </c>
      <c r="C45" s="2" t="s">
        <v>84</v>
      </c>
      <c r="D45" s="2">
        <v>1277.0</v>
      </c>
      <c r="E45" s="10">
        <v>2.5</v>
      </c>
      <c r="F45" s="11">
        <f t="shared" si="1"/>
        <v>3192.5</v>
      </c>
      <c r="G45" s="11">
        <f t="shared" si="4"/>
        <v>242215.27</v>
      </c>
      <c r="H45" s="9">
        <f t="shared" si="2"/>
        <v>0.7253244574</v>
      </c>
      <c r="I45" s="2" t="str">
        <f t="shared" si="3"/>
        <v>A</v>
      </c>
    </row>
    <row r="46" ht="15.75" customHeight="1">
      <c r="A46" s="2" t="s">
        <v>144</v>
      </c>
      <c r="B46" s="2" t="s">
        <v>145</v>
      </c>
      <c r="C46" s="2" t="s">
        <v>84</v>
      </c>
      <c r="D46" s="2">
        <v>1275.0</v>
      </c>
      <c r="E46" s="10">
        <v>2.4</v>
      </c>
      <c r="F46" s="11">
        <f t="shared" si="1"/>
        <v>3060</v>
      </c>
      <c r="G46" s="11">
        <f t="shared" si="4"/>
        <v>245275.27</v>
      </c>
      <c r="H46" s="9">
        <f t="shared" si="2"/>
        <v>0.7344877643</v>
      </c>
      <c r="I46" s="2" t="str">
        <f t="shared" si="3"/>
        <v>A</v>
      </c>
    </row>
    <row r="47" ht="15.75" customHeight="1">
      <c r="A47" s="2" t="s">
        <v>146</v>
      </c>
      <c r="B47" s="2" t="s">
        <v>147</v>
      </c>
      <c r="C47" s="2" t="s">
        <v>67</v>
      </c>
      <c r="D47" s="2">
        <v>913.0</v>
      </c>
      <c r="E47" s="10">
        <v>3.33</v>
      </c>
      <c r="F47" s="11">
        <f t="shared" si="1"/>
        <v>3040.29</v>
      </c>
      <c r="G47" s="11">
        <f t="shared" si="4"/>
        <v>248315.56</v>
      </c>
      <c r="H47" s="9">
        <f t="shared" si="2"/>
        <v>0.7435920486</v>
      </c>
      <c r="I47" s="2" t="str">
        <f t="shared" si="3"/>
        <v>A</v>
      </c>
    </row>
    <row r="48" ht="15.75" customHeight="1">
      <c r="A48" s="2" t="s">
        <v>148</v>
      </c>
      <c r="B48" s="2" t="s">
        <v>149</v>
      </c>
      <c r="C48" s="2" t="s">
        <v>84</v>
      </c>
      <c r="D48" s="2">
        <v>1038.0</v>
      </c>
      <c r="E48" s="10">
        <v>2.85</v>
      </c>
      <c r="F48" s="11">
        <f t="shared" si="1"/>
        <v>2958.3</v>
      </c>
      <c r="G48" s="11">
        <f t="shared" si="4"/>
        <v>251273.86</v>
      </c>
      <c r="H48" s="9">
        <f t="shared" si="2"/>
        <v>0.7524508103</v>
      </c>
      <c r="I48" s="2" t="str">
        <f t="shared" si="3"/>
        <v>A</v>
      </c>
    </row>
    <row r="49" ht="15.75" customHeight="1">
      <c r="A49" s="2" t="s">
        <v>150</v>
      </c>
      <c r="B49" s="2" t="s">
        <v>151</v>
      </c>
      <c r="C49" s="2" t="s">
        <v>84</v>
      </c>
      <c r="D49" s="2">
        <v>944.0</v>
      </c>
      <c r="E49" s="10">
        <v>3.09</v>
      </c>
      <c r="F49" s="11">
        <f t="shared" si="1"/>
        <v>2916.96</v>
      </c>
      <c r="G49" s="11">
        <f t="shared" si="4"/>
        <v>254190.82</v>
      </c>
      <c r="H49" s="9">
        <f t="shared" si="2"/>
        <v>0.7611857774</v>
      </c>
      <c r="I49" s="2" t="str">
        <f t="shared" si="3"/>
        <v>A</v>
      </c>
    </row>
    <row r="50" ht="15.75" customHeight="1">
      <c r="A50" s="2" t="s">
        <v>152</v>
      </c>
      <c r="B50" s="2" t="s">
        <v>153</v>
      </c>
      <c r="C50" s="2" t="s">
        <v>42</v>
      </c>
      <c r="D50" s="2">
        <v>857.0</v>
      </c>
      <c r="E50" s="10">
        <v>3.15</v>
      </c>
      <c r="F50" s="11">
        <f t="shared" si="1"/>
        <v>2699.55</v>
      </c>
      <c r="G50" s="11">
        <f t="shared" si="4"/>
        <v>256890.37</v>
      </c>
      <c r="H50" s="9">
        <f t="shared" si="2"/>
        <v>0.7692697006</v>
      </c>
      <c r="I50" s="2" t="str">
        <f t="shared" si="3"/>
        <v>A</v>
      </c>
    </row>
    <row r="51" ht="15.75" customHeight="1">
      <c r="A51" s="2" t="s">
        <v>154</v>
      </c>
      <c r="B51" s="2" t="s">
        <v>155</v>
      </c>
      <c r="C51" s="2" t="s">
        <v>132</v>
      </c>
      <c r="D51" s="2">
        <v>1372.0</v>
      </c>
      <c r="E51" s="10">
        <v>1.85</v>
      </c>
      <c r="F51" s="11">
        <f t="shared" si="1"/>
        <v>2538.2</v>
      </c>
      <c r="G51" s="11">
        <f t="shared" si="4"/>
        <v>259428.57</v>
      </c>
      <c r="H51" s="9">
        <f t="shared" si="2"/>
        <v>0.776870454</v>
      </c>
      <c r="I51" s="2" t="str">
        <f t="shared" si="3"/>
        <v>A</v>
      </c>
    </row>
    <row r="52" ht="15.75" customHeight="1">
      <c r="A52" s="2" t="s">
        <v>156</v>
      </c>
      <c r="B52" s="2" t="s">
        <v>157</v>
      </c>
      <c r="C52" s="2" t="s">
        <v>101</v>
      </c>
      <c r="D52" s="2">
        <v>1229.0</v>
      </c>
      <c r="E52" s="10">
        <v>2.06</v>
      </c>
      <c r="F52" s="11">
        <f t="shared" si="1"/>
        <v>2531.74</v>
      </c>
      <c r="G52" s="11">
        <f t="shared" si="4"/>
        <v>261960.31</v>
      </c>
      <c r="H52" s="9">
        <f t="shared" si="2"/>
        <v>0.7844518627</v>
      </c>
      <c r="I52" s="2" t="str">
        <f t="shared" si="3"/>
        <v>A</v>
      </c>
    </row>
    <row r="53" ht="15.75" customHeight="1">
      <c r="A53" s="2" t="s">
        <v>158</v>
      </c>
      <c r="B53" s="2" t="s">
        <v>159</v>
      </c>
      <c r="C53" s="2" t="s">
        <v>67</v>
      </c>
      <c r="D53" s="2">
        <v>350.0</v>
      </c>
      <c r="E53" s="10">
        <v>7.06</v>
      </c>
      <c r="F53" s="11">
        <f t="shared" si="1"/>
        <v>2471</v>
      </c>
      <c r="G53" s="11">
        <f t="shared" si="4"/>
        <v>264431.31</v>
      </c>
      <c r="H53" s="9">
        <f t="shared" si="2"/>
        <v>0.7918513827</v>
      </c>
      <c r="I53" s="2" t="str">
        <f t="shared" si="3"/>
        <v>A</v>
      </c>
    </row>
    <row r="54" ht="15.75" customHeight="1">
      <c r="A54" s="2" t="s">
        <v>160</v>
      </c>
      <c r="B54" s="2" t="s">
        <v>161</v>
      </c>
      <c r="C54" s="2" t="s">
        <v>84</v>
      </c>
      <c r="D54" s="2">
        <v>529.0</v>
      </c>
      <c r="E54" s="10">
        <v>4.49</v>
      </c>
      <c r="F54" s="11">
        <f t="shared" si="1"/>
        <v>2375.21</v>
      </c>
      <c r="G54" s="11">
        <f t="shared" si="4"/>
        <v>266806.52</v>
      </c>
      <c r="H54" s="9">
        <f t="shared" si="2"/>
        <v>0.7989640552</v>
      </c>
      <c r="I54" s="2" t="str">
        <f t="shared" si="3"/>
        <v>A</v>
      </c>
    </row>
    <row r="55" ht="15.75" customHeight="1">
      <c r="A55" s="2" t="s">
        <v>162</v>
      </c>
      <c r="B55" s="2" t="s">
        <v>163</v>
      </c>
      <c r="C55" s="2" t="s">
        <v>42</v>
      </c>
      <c r="D55" s="2">
        <v>430.0</v>
      </c>
      <c r="E55" s="10">
        <v>5.45</v>
      </c>
      <c r="F55" s="11">
        <f t="shared" si="1"/>
        <v>2343.5</v>
      </c>
      <c r="G55" s="11">
        <f t="shared" si="4"/>
        <v>269150.02</v>
      </c>
      <c r="H55" s="9">
        <f t="shared" si="2"/>
        <v>0.8059817708</v>
      </c>
      <c r="I55" s="2" t="str">
        <f t="shared" si="3"/>
        <v>B</v>
      </c>
    </row>
    <row r="56" ht="15.75" customHeight="1">
      <c r="A56" s="2" t="s">
        <v>164</v>
      </c>
      <c r="B56" s="2" t="s">
        <v>165</v>
      </c>
      <c r="C56" s="2" t="s">
        <v>101</v>
      </c>
      <c r="D56" s="2">
        <v>1389.0</v>
      </c>
      <c r="E56" s="10">
        <v>1.68</v>
      </c>
      <c r="F56" s="11">
        <f t="shared" si="1"/>
        <v>2333.52</v>
      </c>
      <c r="G56" s="11">
        <f t="shared" si="4"/>
        <v>271483.54</v>
      </c>
      <c r="H56" s="9">
        <f t="shared" si="2"/>
        <v>0.8129696008</v>
      </c>
      <c r="I56" s="2" t="str">
        <f t="shared" si="3"/>
        <v>B</v>
      </c>
    </row>
    <row r="57" ht="15.75" customHeight="1">
      <c r="A57" s="2" t="s">
        <v>166</v>
      </c>
      <c r="B57" s="2" t="s">
        <v>167</v>
      </c>
      <c r="C57" s="2" t="s">
        <v>74</v>
      </c>
      <c r="D57" s="2">
        <v>681.0</v>
      </c>
      <c r="E57" s="10">
        <v>3.39</v>
      </c>
      <c r="F57" s="11">
        <f t="shared" si="1"/>
        <v>2308.59</v>
      </c>
      <c r="G57" s="11">
        <f t="shared" si="4"/>
        <v>273792.13</v>
      </c>
      <c r="H57" s="9">
        <f t="shared" si="2"/>
        <v>0.8198827768</v>
      </c>
      <c r="I57" s="2" t="str">
        <f t="shared" si="3"/>
        <v>B</v>
      </c>
    </row>
    <row r="58" ht="15.75" customHeight="1">
      <c r="A58" s="2" t="s">
        <v>168</v>
      </c>
      <c r="B58" s="2" t="s">
        <v>169</v>
      </c>
      <c r="C58" s="2" t="s">
        <v>42</v>
      </c>
      <c r="D58" s="2">
        <v>1178.0</v>
      </c>
      <c r="E58" s="10">
        <v>1.89</v>
      </c>
      <c r="F58" s="11">
        <f t="shared" si="1"/>
        <v>2226.42</v>
      </c>
      <c r="G58" s="11">
        <f t="shared" si="4"/>
        <v>276018.55</v>
      </c>
      <c r="H58" s="9">
        <f t="shared" si="2"/>
        <v>0.826549891</v>
      </c>
      <c r="I58" s="2" t="str">
        <f t="shared" si="3"/>
        <v>B</v>
      </c>
    </row>
    <row r="59" ht="15.75" customHeight="1">
      <c r="A59" s="2" t="s">
        <v>170</v>
      </c>
      <c r="B59" s="2" t="s">
        <v>171</v>
      </c>
      <c r="C59" s="2" t="s">
        <v>52</v>
      </c>
      <c r="D59" s="2">
        <v>342.0</v>
      </c>
      <c r="E59" s="10">
        <v>6.45</v>
      </c>
      <c r="F59" s="11">
        <f t="shared" si="1"/>
        <v>2205.9</v>
      </c>
      <c r="G59" s="11">
        <f t="shared" si="4"/>
        <v>278224.45</v>
      </c>
      <c r="H59" s="9">
        <f t="shared" si="2"/>
        <v>0.8331555572</v>
      </c>
      <c r="I59" s="2" t="str">
        <f t="shared" si="3"/>
        <v>B</v>
      </c>
    </row>
    <row r="60" ht="15.75" customHeight="1">
      <c r="A60" s="2" t="s">
        <v>172</v>
      </c>
      <c r="B60" s="2" t="s">
        <v>173</v>
      </c>
      <c r="C60" s="2" t="s">
        <v>42</v>
      </c>
      <c r="D60" s="2">
        <v>807.0</v>
      </c>
      <c r="E60" s="10">
        <v>2.62</v>
      </c>
      <c r="F60" s="11">
        <f t="shared" si="1"/>
        <v>2114.34</v>
      </c>
      <c r="G60" s="11">
        <f t="shared" si="4"/>
        <v>280338.79</v>
      </c>
      <c r="H60" s="9">
        <f t="shared" si="2"/>
        <v>0.8394870429</v>
      </c>
      <c r="I60" s="2" t="str">
        <f t="shared" si="3"/>
        <v>B</v>
      </c>
    </row>
    <row r="61" ht="15.75" customHeight="1">
      <c r="A61" s="2" t="s">
        <v>174</v>
      </c>
      <c r="B61" s="2" t="s">
        <v>175</v>
      </c>
      <c r="C61" s="2" t="s">
        <v>84</v>
      </c>
      <c r="D61" s="2">
        <v>868.0</v>
      </c>
      <c r="E61" s="10">
        <v>2.34</v>
      </c>
      <c r="F61" s="11">
        <f t="shared" si="1"/>
        <v>2031.12</v>
      </c>
      <c r="G61" s="11">
        <f t="shared" si="4"/>
        <v>282369.91</v>
      </c>
      <c r="H61" s="9">
        <f t="shared" si="2"/>
        <v>0.8455693225</v>
      </c>
      <c r="I61" s="2" t="str">
        <f t="shared" si="3"/>
        <v>B</v>
      </c>
    </row>
    <row r="62" ht="15.75" customHeight="1">
      <c r="A62" s="2" t="s">
        <v>176</v>
      </c>
      <c r="B62" s="2" t="s">
        <v>177</v>
      </c>
      <c r="C62" s="2" t="s">
        <v>42</v>
      </c>
      <c r="D62" s="2">
        <v>243.0</v>
      </c>
      <c r="E62" s="10">
        <v>8.24</v>
      </c>
      <c r="F62" s="11">
        <f t="shared" si="1"/>
        <v>2002.32</v>
      </c>
      <c r="G62" s="11">
        <f t="shared" si="4"/>
        <v>284372.23</v>
      </c>
      <c r="H62" s="9">
        <f t="shared" si="2"/>
        <v>0.8515653593</v>
      </c>
      <c r="I62" s="2" t="str">
        <f t="shared" si="3"/>
        <v>B</v>
      </c>
    </row>
    <row r="63" ht="15.75" customHeight="1">
      <c r="A63" s="2" t="s">
        <v>178</v>
      </c>
      <c r="B63" s="2" t="s">
        <v>179</v>
      </c>
      <c r="C63" s="2" t="s">
        <v>101</v>
      </c>
      <c r="D63" s="2">
        <v>1196.0</v>
      </c>
      <c r="E63" s="10">
        <v>1.57</v>
      </c>
      <c r="F63" s="11">
        <f t="shared" si="1"/>
        <v>1877.72</v>
      </c>
      <c r="G63" s="11">
        <f t="shared" si="4"/>
        <v>286249.95</v>
      </c>
      <c r="H63" s="9">
        <f t="shared" si="2"/>
        <v>0.8571882758</v>
      </c>
      <c r="I63" s="2" t="str">
        <f t="shared" si="3"/>
        <v>B</v>
      </c>
    </row>
    <row r="64" ht="15.75" customHeight="1">
      <c r="A64" s="2" t="s">
        <v>180</v>
      </c>
      <c r="B64" s="2" t="s">
        <v>181</v>
      </c>
      <c r="C64" s="2" t="s">
        <v>67</v>
      </c>
      <c r="D64" s="2">
        <v>278.0</v>
      </c>
      <c r="E64" s="10">
        <v>6.61</v>
      </c>
      <c r="F64" s="11">
        <f t="shared" si="1"/>
        <v>1837.58</v>
      </c>
      <c r="G64" s="11">
        <f t="shared" si="4"/>
        <v>288087.53</v>
      </c>
      <c r="H64" s="9">
        <f t="shared" si="2"/>
        <v>0.8626909913</v>
      </c>
      <c r="I64" s="2" t="str">
        <f t="shared" si="3"/>
        <v>B</v>
      </c>
    </row>
    <row r="65" ht="15.75" customHeight="1">
      <c r="A65" s="2" t="s">
        <v>182</v>
      </c>
      <c r="B65" s="2" t="s">
        <v>183</v>
      </c>
      <c r="C65" s="2" t="s">
        <v>42</v>
      </c>
      <c r="D65" s="2">
        <v>827.0</v>
      </c>
      <c r="E65" s="10">
        <v>2.22</v>
      </c>
      <c r="F65" s="11">
        <f t="shared" si="1"/>
        <v>1835.94</v>
      </c>
      <c r="G65" s="11">
        <f t="shared" si="4"/>
        <v>289923.47</v>
      </c>
      <c r="H65" s="9">
        <f t="shared" si="2"/>
        <v>0.8681887957</v>
      </c>
      <c r="I65" s="2" t="str">
        <f t="shared" si="3"/>
        <v>B</v>
      </c>
    </row>
    <row r="66" ht="15.75" customHeight="1">
      <c r="A66" s="2" t="s">
        <v>184</v>
      </c>
      <c r="B66" s="2" t="s">
        <v>185</v>
      </c>
      <c r="C66" s="2" t="s">
        <v>132</v>
      </c>
      <c r="D66" s="2">
        <v>567.0</v>
      </c>
      <c r="E66" s="10">
        <v>3.17</v>
      </c>
      <c r="F66" s="11">
        <f t="shared" si="1"/>
        <v>1797.39</v>
      </c>
      <c r="G66" s="11">
        <f t="shared" si="4"/>
        <v>291720.86</v>
      </c>
      <c r="H66" s="9">
        <f t="shared" si="2"/>
        <v>0.8735711605</v>
      </c>
      <c r="I66" s="2" t="str">
        <f t="shared" si="3"/>
        <v>B</v>
      </c>
    </row>
    <row r="67" ht="15.75" customHeight="1">
      <c r="A67" s="2" t="s">
        <v>186</v>
      </c>
      <c r="B67" s="2" t="s">
        <v>187</v>
      </c>
      <c r="C67" s="2" t="s">
        <v>188</v>
      </c>
      <c r="D67" s="2">
        <v>520.0</v>
      </c>
      <c r="E67" s="10">
        <v>3.39</v>
      </c>
      <c r="F67" s="11">
        <f t="shared" si="1"/>
        <v>1762.8</v>
      </c>
      <c r="G67" s="11">
        <f t="shared" si="4"/>
        <v>293483.66</v>
      </c>
      <c r="H67" s="9">
        <f t="shared" si="2"/>
        <v>0.8788499439</v>
      </c>
      <c r="I67" s="2" t="str">
        <f t="shared" si="3"/>
        <v>B</v>
      </c>
    </row>
    <row r="68" ht="15.75" customHeight="1">
      <c r="A68" s="2" t="s">
        <v>189</v>
      </c>
      <c r="B68" s="2" t="s">
        <v>190</v>
      </c>
      <c r="C68" s="2" t="s">
        <v>74</v>
      </c>
      <c r="D68" s="2">
        <v>297.0</v>
      </c>
      <c r="E68" s="10">
        <v>5.79</v>
      </c>
      <c r="F68" s="11">
        <f t="shared" si="1"/>
        <v>1719.63</v>
      </c>
      <c r="G68" s="11">
        <f t="shared" si="4"/>
        <v>295203.29</v>
      </c>
      <c r="H68" s="9">
        <f t="shared" si="2"/>
        <v>0.8839994528</v>
      </c>
      <c r="I68" s="2" t="str">
        <f t="shared" si="3"/>
        <v>B</v>
      </c>
    </row>
    <row r="69" ht="15.75" customHeight="1">
      <c r="A69" s="2" t="s">
        <v>191</v>
      </c>
      <c r="B69" s="2" t="s">
        <v>192</v>
      </c>
      <c r="C69" s="2" t="s">
        <v>74</v>
      </c>
      <c r="D69" s="2">
        <v>445.0</v>
      </c>
      <c r="E69" s="10">
        <v>3.79</v>
      </c>
      <c r="F69" s="11">
        <f t="shared" si="1"/>
        <v>1686.55</v>
      </c>
      <c r="G69" s="11">
        <f t="shared" si="4"/>
        <v>296889.84</v>
      </c>
      <c r="H69" s="9">
        <f t="shared" si="2"/>
        <v>0.8890499022</v>
      </c>
      <c r="I69" s="2" t="str">
        <f t="shared" si="3"/>
        <v>B</v>
      </c>
    </row>
    <row r="70" ht="15.75" customHeight="1">
      <c r="A70" s="2" t="s">
        <v>193</v>
      </c>
      <c r="B70" s="2" t="s">
        <v>194</v>
      </c>
      <c r="C70" s="2" t="s">
        <v>132</v>
      </c>
      <c r="D70" s="2">
        <v>587.0</v>
      </c>
      <c r="E70" s="10">
        <v>2.85</v>
      </c>
      <c r="F70" s="11">
        <f t="shared" si="1"/>
        <v>1672.95</v>
      </c>
      <c r="G70" s="11">
        <f t="shared" si="4"/>
        <v>298562.79</v>
      </c>
      <c r="H70" s="9">
        <f t="shared" si="2"/>
        <v>0.8940596258</v>
      </c>
      <c r="I70" s="2" t="str">
        <f t="shared" si="3"/>
        <v>B</v>
      </c>
    </row>
    <row r="71" ht="15.75" customHeight="1">
      <c r="A71" s="2" t="s">
        <v>195</v>
      </c>
      <c r="B71" s="2" t="s">
        <v>196</v>
      </c>
      <c r="C71" s="2" t="s">
        <v>101</v>
      </c>
      <c r="D71" s="2">
        <v>365.0</v>
      </c>
      <c r="E71" s="10">
        <v>4.37</v>
      </c>
      <c r="F71" s="11">
        <f t="shared" si="1"/>
        <v>1595.05</v>
      </c>
      <c r="G71" s="11">
        <f t="shared" si="4"/>
        <v>300157.84</v>
      </c>
      <c r="H71" s="9">
        <f t="shared" si="2"/>
        <v>0.8988360744</v>
      </c>
      <c r="I71" s="2" t="str">
        <f t="shared" si="3"/>
        <v>B</v>
      </c>
    </row>
    <row r="72" ht="15.75" customHeight="1">
      <c r="A72" s="2" t="s">
        <v>197</v>
      </c>
      <c r="B72" s="2" t="s">
        <v>198</v>
      </c>
      <c r="C72" s="2" t="s">
        <v>84</v>
      </c>
      <c r="D72" s="2">
        <v>407.0</v>
      </c>
      <c r="E72" s="10">
        <v>3.77</v>
      </c>
      <c r="F72" s="11">
        <f t="shared" si="1"/>
        <v>1534.39</v>
      </c>
      <c r="G72" s="11">
        <f t="shared" si="4"/>
        <v>301692.23</v>
      </c>
      <c r="H72" s="9">
        <f t="shared" si="2"/>
        <v>0.9034308738</v>
      </c>
      <c r="I72" s="2" t="str">
        <f t="shared" si="3"/>
        <v>B</v>
      </c>
    </row>
    <row r="73" ht="15.75" customHeight="1">
      <c r="A73" s="2" t="s">
        <v>199</v>
      </c>
      <c r="B73" s="2" t="s">
        <v>200</v>
      </c>
      <c r="C73" s="2" t="s">
        <v>132</v>
      </c>
      <c r="D73" s="2">
        <v>218.0</v>
      </c>
      <c r="E73" s="10">
        <v>6.93</v>
      </c>
      <c r="F73" s="11">
        <f t="shared" si="1"/>
        <v>1510.74</v>
      </c>
      <c r="G73" s="11">
        <f t="shared" si="4"/>
        <v>303202.97</v>
      </c>
      <c r="H73" s="9">
        <f t="shared" si="2"/>
        <v>0.9079548523</v>
      </c>
      <c r="I73" s="2" t="str">
        <f t="shared" si="3"/>
        <v>B</v>
      </c>
    </row>
    <row r="74" ht="15.75" customHeight="1">
      <c r="A74" s="2" t="s">
        <v>201</v>
      </c>
      <c r="B74" s="2" t="s">
        <v>202</v>
      </c>
      <c r="C74" s="2" t="s">
        <v>77</v>
      </c>
      <c r="D74" s="2">
        <v>709.0</v>
      </c>
      <c r="E74" s="10">
        <v>2.08</v>
      </c>
      <c r="F74" s="11">
        <f t="shared" si="1"/>
        <v>1474.72</v>
      </c>
      <c r="G74" s="11">
        <f t="shared" si="4"/>
        <v>304677.69</v>
      </c>
      <c r="H74" s="9">
        <f t="shared" si="2"/>
        <v>0.9123709673</v>
      </c>
      <c r="I74" s="2" t="str">
        <f t="shared" si="3"/>
        <v>B</v>
      </c>
    </row>
    <row r="75" ht="15.75" customHeight="1">
      <c r="A75" s="2" t="s">
        <v>203</v>
      </c>
      <c r="B75" s="2" t="s">
        <v>204</v>
      </c>
      <c r="C75" s="2" t="s">
        <v>132</v>
      </c>
      <c r="D75" s="2">
        <v>756.0</v>
      </c>
      <c r="E75" s="10">
        <v>1.93</v>
      </c>
      <c r="F75" s="11">
        <f t="shared" si="1"/>
        <v>1459.08</v>
      </c>
      <c r="G75" s="11">
        <f t="shared" si="4"/>
        <v>306136.77</v>
      </c>
      <c r="H75" s="9">
        <f t="shared" si="2"/>
        <v>0.9167402476</v>
      </c>
      <c r="I75" s="2" t="str">
        <f t="shared" si="3"/>
        <v>B</v>
      </c>
    </row>
    <row r="76" ht="15.75" customHeight="1">
      <c r="A76" s="2" t="s">
        <v>205</v>
      </c>
      <c r="B76" s="2" t="s">
        <v>206</v>
      </c>
      <c r="C76" s="2" t="s">
        <v>101</v>
      </c>
      <c r="D76" s="2">
        <v>643.0</v>
      </c>
      <c r="E76" s="10">
        <v>2.25</v>
      </c>
      <c r="F76" s="11">
        <f t="shared" si="1"/>
        <v>1446.75</v>
      </c>
      <c r="G76" s="11">
        <f t="shared" si="4"/>
        <v>307583.52</v>
      </c>
      <c r="H76" s="9">
        <f t="shared" si="2"/>
        <v>0.9210726052</v>
      </c>
      <c r="I76" s="2" t="str">
        <f t="shared" si="3"/>
        <v>B</v>
      </c>
    </row>
    <row r="77" ht="15.75" customHeight="1">
      <c r="A77" s="2" t="s">
        <v>207</v>
      </c>
      <c r="B77" s="2" t="s">
        <v>208</v>
      </c>
      <c r="C77" s="2" t="s">
        <v>77</v>
      </c>
      <c r="D77" s="2">
        <v>410.0</v>
      </c>
      <c r="E77" s="10">
        <v>3.43</v>
      </c>
      <c r="F77" s="11">
        <f t="shared" si="1"/>
        <v>1406.3</v>
      </c>
      <c r="G77" s="11">
        <f t="shared" si="4"/>
        <v>308989.82</v>
      </c>
      <c r="H77" s="9">
        <f t="shared" si="2"/>
        <v>0.9252838334</v>
      </c>
      <c r="I77" s="2" t="str">
        <f t="shared" si="3"/>
        <v>B</v>
      </c>
    </row>
    <row r="78" ht="15.75" customHeight="1">
      <c r="A78" s="2" t="s">
        <v>209</v>
      </c>
      <c r="B78" s="2" t="s">
        <v>210</v>
      </c>
      <c r="C78" s="2" t="s">
        <v>42</v>
      </c>
      <c r="D78" s="2">
        <v>226.0</v>
      </c>
      <c r="E78" s="10">
        <v>6.1</v>
      </c>
      <c r="F78" s="11">
        <f t="shared" si="1"/>
        <v>1378.6</v>
      </c>
      <c r="G78" s="11">
        <f t="shared" si="4"/>
        <v>310368.42</v>
      </c>
      <c r="H78" s="9">
        <f t="shared" si="2"/>
        <v>0.9294121128</v>
      </c>
      <c r="I78" s="2" t="str">
        <f t="shared" si="3"/>
        <v>B</v>
      </c>
    </row>
    <row r="79" ht="15.75" customHeight="1">
      <c r="A79" s="2" t="s">
        <v>211</v>
      </c>
      <c r="B79" s="2" t="s">
        <v>212</v>
      </c>
      <c r="C79" s="2" t="s">
        <v>188</v>
      </c>
      <c r="D79" s="2">
        <v>776.0</v>
      </c>
      <c r="E79" s="10">
        <v>1.69</v>
      </c>
      <c r="F79" s="11">
        <f t="shared" si="1"/>
        <v>1311.44</v>
      </c>
      <c r="G79" s="11">
        <f t="shared" si="4"/>
        <v>311679.86</v>
      </c>
      <c r="H79" s="9">
        <f t="shared" si="2"/>
        <v>0.9333392785</v>
      </c>
      <c r="I79" s="2" t="str">
        <f t="shared" si="3"/>
        <v>B</v>
      </c>
    </row>
    <row r="80" ht="15.75" customHeight="1">
      <c r="A80" s="2" t="s">
        <v>213</v>
      </c>
      <c r="B80" s="2" t="s">
        <v>214</v>
      </c>
      <c r="C80" s="2" t="s">
        <v>42</v>
      </c>
      <c r="D80" s="2">
        <v>581.0</v>
      </c>
      <c r="E80" s="10">
        <v>2.22</v>
      </c>
      <c r="F80" s="11">
        <f t="shared" si="1"/>
        <v>1289.82</v>
      </c>
      <c r="G80" s="11">
        <f t="shared" si="4"/>
        <v>312969.68</v>
      </c>
      <c r="H80" s="9">
        <f t="shared" si="2"/>
        <v>0.9372017022</v>
      </c>
      <c r="I80" s="2" t="str">
        <f t="shared" si="3"/>
        <v>B</v>
      </c>
    </row>
    <row r="81" ht="15.75" customHeight="1">
      <c r="A81" s="2" t="s">
        <v>215</v>
      </c>
      <c r="B81" s="2" t="s">
        <v>216</v>
      </c>
      <c r="C81" s="2" t="s">
        <v>42</v>
      </c>
      <c r="D81" s="2">
        <v>855.0</v>
      </c>
      <c r="E81" s="10">
        <v>1.49</v>
      </c>
      <c r="F81" s="11">
        <f t="shared" si="1"/>
        <v>1273.95</v>
      </c>
      <c r="G81" s="11">
        <f t="shared" si="4"/>
        <v>314243.63</v>
      </c>
      <c r="H81" s="9">
        <f t="shared" si="2"/>
        <v>0.9410166024</v>
      </c>
      <c r="I81" s="2" t="str">
        <f t="shared" si="3"/>
        <v>B</v>
      </c>
    </row>
    <row r="82" ht="15.75" customHeight="1">
      <c r="A82" s="2" t="s">
        <v>217</v>
      </c>
      <c r="B82" s="2" t="s">
        <v>218</v>
      </c>
      <c r="C82" s="2" t="s">
        <v>101</v>
      </c>
      <c r="D82" s="2">
        <v>944.0</v>
      </c>
      <c r="E82" s="10">
        <v>1.34</v>
      </c>
      <c r="F82" s="11">
        <f t="shared" si="1"/>
        <v>1264.96</v>
      </c>
      <c r="G82" s="11">
        <f t="shared" si="4"/>
        <v>315508.59</v>
      </c>
      <c r="H82" s="9">
        <f t="shared" si="2"/>
        <v>0.9448045817</v>
      </c>
      <c r="I82" s="2" t="str">
        <f t="shared" si="3"/>
        <v>B</v>
      </c>
    </row>
    <row r="83" ht="15.75" customHeight="1">
      <c r="A83" s="2" t="s">
        <v>219</v>
      </c>
      <c r="B83" s="2" t="s">
        <v>220</v>
      </c>
      <c r="C83" s="2" t="s">
        <v>132</v>
      </c>
      <c r="D83" s="2">
        <v>772.0</v>
      </c>
      <c r="E83" s="10">
        <v>1.63</v>
      </c>
      <c r="F83" s="11">
        <f t="shared" si="1"/>
        <v>1258.36</v>
      </c>
      <c r="G83" s="11">
        <f t="shared" si="4"/>
        <v>316766.95</v>
      </c>
      <c r="H83" s="9">
        <f t="shared" si="2"/>
        <v>0.948572797</v>
      </c>
      <c r="I83" s="2" t="str">
        <f t="shared" si="3"/>
        <v>B</v>
      </c>
    </row>
    <row r="84" ht="15.75" customHeight="1">
      <c r="A84" s="2" t="s">
        <v>221</v>
      </c>
      <c r="B84" s="2" t="s">
        <v>222</v>
      </c>
      <c r="C84" s="2" t="s">
        <v>46</v>
      </c>
      <c r="D84" s="2">
        <v>145.0</v>
      </c>
      <c r="E84" s="10">
        <v>8.33</v>
      </c>
      <c r="F84" s="11">
        <f t="shared" si="1"/>
        <v>1207.85</v>
      </c>
      <c r="G84" s="11">
        <f t="shared" si="4"/>
        <v>317974.8</v>
      </c>
      <c r="H84" s="9">
        <f t="shared" si="2"/>
        <v>0.9521897578</v>
      </c>
      <c r="I84" s="2" t="str">
        <f t="shared" si="3"/>
        <v>C</v>
      </c>
    </row>
    <row r="85" ht="15.75" customHeight="1">
      <c r="A85" s="2" t="s">
        <v>223</v>
      </c>
      <c r="B85" s="2" t="s">
        <v>224</v>
      </c>
      <c r="C85" s="2" t="s">
        <v>42</v>
      </c>
      <c r="D85" s="2">
        <v>168.0</v>
      </c>
      <c r="E85" s="10">
        <v>7.15</v>
      </c>
      <c r="F85" s="11">
        <f t="shared" si="1"/>
        <v>1201.2</v>
      </c>
      <c r="G85" s="11">
        <f t="shared" si="4"/>
        <v>319176</v>
      </c>
      <c r="H85" s="9">
        <f t="shared" si="2"/>
        <v>0.9557868049</v>
      </c>
      <c r="I85" s="2" t="str">
        <f t="shared" si="3"/>
        <v>C</v>
      </c>
    </row>
    <row r="86" ht="15.75" customHeight="1">
      <c r="A86" s="2" t="s">
        <v>225</v>
      </c>
      <c r="B86" s="2" t="s">
        <v>226</v>
      </c>
      <c r="C86" s="2" t="s">
        <v>42</v>
      </c>
      <c r="D86" s="2">
        <v>286.0</v>
      </c>
      <c r="E86" s="10">
        <v>4.11</v>
      </c>
      <c r="F86" s="11">
        <f t="shared" si="1"/>
        <v>1175.46</v>
      </c>
      <c r="G86" s="11">
        <f t="shared" si="4"/>
        <v>320351.46</v>
      </c>
      <c r="H86" s="9">
        <f t="shared" si="2"/>
        <v>0.9593067725</v>
      </c>
      <c r="I86" s="2" t="str">
        <f t="shared" si="3"/>
        <v>C</v>
      </c>
    </row>
    <row r="87" ht="15.75" customHeight="1">
      <c r="A87" s="2" t="s">
        <v>227</v>
      </c>
      <c r="B87" s="2" t="s">
        <v>228</v>
      </c>
      <c r="C87" s="2" t="s">
        <v>188</v>
      </c>
      <c r="D87" s="2">
        <v>406.0</v>
      </c>
      <c r="E87" s="10">
        <v>2.75</v>
      </c>
      <c r="F87" s="11">
        <f t="shared" si="1"/>
        <v>1116.5</v>
      </c>
      <c r="G87" s="11">
        <f t="shared" si="4"/>
        <v>321467.96</v>
      </c>
      <c r="H87" s="9">
        <f t="shared" si="2"/>
        <v>0.9626501817</v>
      </c>
      <c r="I87" s="2" t="str">
        <f t="shared" si="3"/>
        <v>C</v>
      </c>
    </row>
    <row r="88" ht="15.75" customHeight="1">
      <c r="A88" s="2" t="s">
        <v>229</v>
      </c>
      <c r="B88" s="2" t="s">
        <v>230</v>
      </c>
      <c r="C88" s="2" t="s">
        <v>84</v>
      </c>
      <c r="D88" s="2">
        <v>314.0</v>
      </c>
      <c r="E88" s="10">
        <v>3.39</v>
      </c>
      <c r="F88" s="11">
        <f t="shared" si="1"/>
        <v>1064.46</v>
      </c>
      <c r="G88" s="11">
        <f t="shared" si="4"/>
        <v>322532.42</v>
      </c>
      <c r="H88" s="9">
        <f t="shared" si="2"/>
        <v>0.9658377547</v>
      </c>
      <c r="I88" s="2" t="str">
        <f t="shared" si="3"/>
        <v>C</v>
      </c>
    </row>
    <row r="89" ht="15.75" customHeight="1">
      <c r="A89" s="2" t="s">
        <v>231</v>
      </c>
      <c r="B89" s="2" t="s">
        <v>232</v>
      </c>
      <c r="C89" s="2" t="s">
        <v>188</v>
      </c>
      <c r="D89" s="2">
        <v>858.0</v>
      </c>
      <c r="E89" s="10">
        <v>1.24</v>
      </c>
      <c r="F89" s="11">
        <f t="shared" si="1"/>
        <v>1063.92</v>
      </c>
      <c r="G89" s="11">
        <f t="shared" si="4"/>
        <v>323596.34</v>
      </c>
      <c r="H89" s="9">
        <f t="shared" si="2"/>
        <v>0.9690237107</v>
      </c>
      <c r="I89" s="2" t="str">
        <f t="shared" si="3"/>
        <v>C</v>
      </c>
    </row>
    <row r="90" ht="15.75" customHeight="1">
      <c r="A90" s="2" t="s">
        <v>233</v>
      </c>
      <c r="B90" s="2" t="s">
        <v>234</v>
      </c>
      <c r="C90" s="2" t="s">
        <v>77</v>
      </c>
      <c r="D90" s="2">
        <v>393.0</v>
      </c>
      <c r="E90" s="10">
        <v>2.68</v>
      </c>
      <c r="F90" s="11">
        <f t="shared" si="1"/>
        <v>1053.24</v>
      </c>
      <c r="G90" s="11">
        <f t="shared" si="4"/>
        <v>324649.58</v>
      </c>
      <c r="H90" s="9">
        <f t="shared" si="2"/>
        <v>0.972177685</v>
      </c>
      <c r="I90" s="2" t="str">
        <f t="shared" si="3"/>
        <v>C</v>
      </c>
    </row>
    <row r="91" ht="15.75" customHeight="1">
      <c r="A91" s="2" t="s">
        <v>235</v>
      </c>
      <c r="B91" s="2" t="s">
        <v>236</v>
      </c>
      <c r="C91" s="2" t="s">
        <v>74</v>
      </c>
      <c r="D91" s="2">
        <v>1009.0</v>
      </c>
      <c r="E91" s="10">
        <v>1.02</v>
      </c>
      <c r="F91" s="11">
        <f t="shared" si="1"/>
        <v>1029.18</v>
      </c>
      <c r="G91" s="11">
        <f t="shared" si="4"/>
        <v>325678.76</v>
      </c>
      <c r="H91" s="9">
        <f t="shared" si="2"/>
        <v>0.9752596106</v>
      </c>
      <c r="I91" s="2" t="str">
        <f t="shared" si="3"/>
        <v>C</v>
      </c>
    </row>
    <row r="92" ht="15.75" customHeight="1">
      <c r="A92" s="2" t="s">
        <v>237</v>
      </c>
      <c r="B92" s="2" t="s">
        <v>238</v>
      </c>
      <c r="C92" s="2" t="s">
        <v>84</v>
      </c>
      <c r="D92" s="2">
        <v>363.0</v>
      </c>
      <c r="E92" s="10">
        <v>2.78</v>
      </c>
      <c r="F92" s="11">
        <f t="shared" si="1"/>
        <v>1009.14</v>
      </c>
      <c r="G92" s="11">
        <f t="shared" si="4"/>
        <v>326687.9</v>
      </c>
      <c r="H92" s="9">
        <f t="shared" si="2"/>
        <v>0.9782815254</v>
      </c>
      <c r="I92" s="2" t="str">
        <f t="shared" si="3"/>
        <v>C</v>
      </c>
    </row>
    <row r="93" ht="15.75" customHeight="1">
      <c r="A93" s="2" t="s">
        <v>239</v>
      </c>
      <c r="B93" s="2" t="s">
        <v>240</v>
      </c>
      <c r="C93" s="2" t="s">
        <v>84</v>
      </c>
      <c r="D93" s="2">
        <v>266.0</v>
      </c>
      <c r="E93" s="10">
        <v>3.65</v>
      </c>
      <c r="F93" s="11">
        <f t="shared" si="1"/>
        <v>970.9</v>
      </c>
      <c r="G93" s="11">
        <f t="shared" si="4"/>
        <v>327658.8</v>
      </c>
      <c r="H93" s="9">
        <f t="shared" si="2"/>
        <v>0.9811889289</v>
      </c>
      <c r="I93" s="2" t="str">
        <f t="shared" si="3"/>
        <v>C</v>
      </c>
    </row>
    <row r="94" ht="15.75" customHeight="1">
      <c r="A94" s="2" t="s">
        <v>241</v>
      </c>
      <c r="B94" s="2" t="s">
        <v>242</v>
      </c>
      <c r="C94" s="2" t="s">
        <v>188</v>
      </c>
      <c r="D94" s="2">
        <v>769.0</v>
      </c>
      <c r="E94" s="10">
        <v>1.26</v>
      </c>
      <c r="F94" s="11">
        <f t="shared" si="1"/>
        <v>968.94</v>
      </c>
      <c r="G94" s="11">
        <f t="shared" si="4"/>
        <v>328627.74</v>
      </c>
      <c r="H94" s="9">
        <f t="shared" si="2"/>
        <v>0.984090463</v>
      </c>
      <c r="I94" s="2" t="str">
        <f t="shared" si="3"/>
        <v>C</v>
      </c>
    </row>
    <row r="95" ht="15.75" customHeight="1">
      <c r="A95" s="2" t="s">
        <v>243</v>
      </c>
      <c r="B95" s="2" t="s">
        <v>244</v>
      </c>
      <c r="C95" s="2" t="s">
        <v>46</v>
      </c>
      <c r="D95" s="2">
        <v>194.0</v>
      </c>
      <c r="E95" s="10">
        <v>4.87</v>
      </c>
      <c r="F95" s="11">
        <f t="shared" si="1"/>
        <v>944.78</v>
      </c>
      <c r="G95" s="11">
        <f t="shared" si="4"/>
        <v>329572.52</v>
      </c>
      <c r="H95" s="9">
        <f t="shared" si="2"/>
        <v>0.986919649</v>
      </c>
      <c r="I95" s="2" t="str">
        <f t="shared" si="3"/>
        <v>C</v>
      </c>
    </row>
    <row r="96" ht="15.75" customHeight="1">
      <c r="A96" s="2" t="s">
        <v>245</v>
      </c>
      <c r="B96" s="2" t="s">
        <v>246</v>
      </c>
      <c r="C96" s="2" t="s">
        <v>84</v>
      </c>
      <c r="D96" s="2">
        <v>622.0</v>
      </c>
      <c r="E96" s="10">
        <v>1.49</v>
      </c>
      <c r="F96" s="11">
        <f t="shared" si="1"/>
        <v>926.78</v>
      </c>
      <c r="G96" s="11">
        <f t="shared" si="4"/>
        <v>330499.3</v>
      </c>
      <c r="H96" s="9">
        <f t="shared" si="2"/>
        <v>0.9896949332</v>
      </c>
      <c r="I96" s="2" t="str">
        <f t="shared" si="3"/>
        <v>C</v>
      </c>
    </row>
    <row r="97" ht="15.75" customHeight="1">
      <c r="A97" s="2" t="s">
        <v>247</v>
      </c>
      <c r="B97" s="2" t="s">
        <v>248</v>
      </c>
      <c r="C97" s="2" t="s">
        <v>132</v>
      </c>
      <c r="D97" s="2">
        <v>531.0</v>
      </c>
      <c r="E97" s="10">
        <v>1.54</v>
      </c>
      <c r="F97" s="11">
        <f t="shared" si="1"/>
        <v>817.74</v>
      </c>
      <c r="G97" s="11">
        <f t="shared" si="4"/>
        <v>331317.04</v>
      </c>
      <c r="H97" s="9">
        <f t="shared" si="2"/>
        <v>0.9921436922</v>
      </c>
      <c r="I97" s="2" t="str">
        <f t="shared" si="3"/>
        <v>C</v>
      </c>
    </row>
    <row r="98" ht="15.75" customHeight="1">
      <c r="A98" s="2" t="s">
        <v>249</v>
      </c>
      <c r="B98" s="2" t="s">
        <v>250</v>
      </c>
      <c r="C98" s="2" t="s">
        <v>101</v>
      </c>
      <c r="D98" s="2">
        <v>271.0</v>
      </c>
      <c r="E98" s="10">
        <v>2.14</v>
      </c>
      <c r="F98" s="11">
        <f t="shared" si="1"/>
        <v>579.94</v>
      </c>
      <c r="G98" s="11">
        <f t="shared" si="4"/>
        <v>331896.98</v>
      </c>
      <c r="H98" s="9">
        <f t="shared" si="2"/>
        <v>0.9938803484</v>
      </c>
      <c r="I98" s="2" t="str">
        <f t="shared" si="3"/>
        <v>C</v>
      </c>
    </row>
    <row r="99" ht="15.75" customHeight="1">
      <c r="A99" s="2" t="s">
        <v>251</v>
      </c>
      <c r="B99" s="2" t="s">
        <v>252</v>
      </c>
      <c r="C99" s="2" t="s">
        <v>52</v>
      </c>
      <c r="D99" s="2">
        <v>241.0</v>
      </c>
      <c r="E99" s="10">
        <v>2.14</v>
      </c>
      <c r="F99" s="11">
        <f t="shared" si="1"/>
        <v>515.74</v>
      </c>
      <c r="G99" s="11">
        <f t="shared" si="4"/>
        <v>332412.72</v>
      </c>
      <c r="H99" s="9">
        <f t="shared" si="2"/>
        <v>0.9954247549</v>
      </c>
      <c r="I99" s="2" t="str">
        <f t="shared" si="3"/>
        <v>C</v>
      </c>
    </row>
    <row r="100" ht="15.75" customHeight="1">
      <c r="A100" s="2" t="s">
        <v>253</v>
      </c>
      <c r="B100" s="2" t="s">
        <v>254</v>
      </c>
      <c r="C100" s="2" t="s">
        <v>84</v>
      </c>
      <c r="D100" s="2">
        <v>304.0</v>
      </c>
      <c r="E100" s="10">
        <v>1.53</v>
      </c>
      <c r="F100" s="11">
        <f t="shared" si="1"/>
        <v>465.12</v>
      </c>
      <c r="G100" s="11">
        <f t="shared" si="4"/>
        <v>332877.84</v>
      </c>
      <c r="H100" s="9">
        <f t="shared" si="2"/>
        <v>0.9968175775</v>
      </c>
      <c r="I100" s="2" t="str">
        <f t="shared" si="3"/>
        <v>C</v>
      </c>
    </row>
    <row r="101" ht="15.75" customHeight="1">
      <c r="A101" s="2" t="s">
        <v>255</v>
      </c>
      <c r="B101" s="2" t="s">
        <v>256</v>
      </c>
      <c r="C101" s="2" t="s">
        <v>84</v>
      </c>
      <c r="D101" s="2">
        <v>103.0</v>
      </c>
      <c r="E101" s="10">
        <v>3.38</v>
      </c>
      <c r="F101" s="11">
        <f t="shared" si="1"/>
        <v>348.14</v>
      </c>
      <c r="G101" s="11">
        <f t="shared" si="4"/>
        <v>333225.98</v>
      </c>
      <c r="H101" s="9">
        <f t="shared" si="2"/>
        <v>0.9978600983</v>
      </c>
      <c r="I101" s="2" t="str">
        <f t="shared" si="3"/>
        <v>C</v>
      </c>
    </row>
    <row r="102" ht="15.75" customHeight="1">
      <c r="A102" s="2" t="s">
        <v>257</v>
      </c>
      <c r="B102" s="2" t="s">
        <v>258</v>
      </c>
      <c r="C102" s="2" t="s">
        <v>188</v>
      </c>
      <c r="D102" s="2">
        <v>93.0</v>
      </c>
      <c r="E102" s="10">
        <v>2.9</v>
      </c>
      <c r="F102" s="11">
        <f t="shared" si="1"/>
        <v>269.7</v>
      </c>
      <c r="G102" s="11">
        <f t="shared" si="4"/>
        <v>333495.68</v>
      </c>
      <c r="H102" s="9">
        <f t="shared" si="2"/>
        <v>0.9986677271</v>
      </c>
      <c r="I102" s="2" t="str">
        <f t="shared" si="3"/>
        <v>C</v>
      </c>
    </row>
    <row r="103" ht="15.75" customHeight="1">
      <c r="A103" s="2" t="s">
        <v>259</v>
      </c>
      <c r="B103" s="2" t="s">
        <v>260</v>
      </c>
      <c r="C103" s="2" t="s">
        <v>42</v>
      </c>
      <c r="D103" s="2">
        <v>222.0</v>
      </c>
      <c r="E103" s="10">
        <v>1.2</v>
      </c>
      <c r="F103" s="11">
        <f t="shared" si="1"/>
        <v>266.4</v>
      </c>
      <c r="G103" s="11">
        <f t="shared" si="4"/>
        <v>333762.08</v>
      </c>
      <c r="H103" s="9">
        <f t="shared" si="2"/>
        <v>0.9994654738</v>
      </c>
      <c r="I103" s="2" t="str">
        <f t="shared" si="3"/>
        <v>C</v>
      </c>
    </row>
    <row r="104" ht="15.75" customHeight="1">
      <c r="A104" s="2" t="s">
        <v>261</v>
      </c>
      <c r="B104" s="2" t="s">
        <v>262</v>
      </c>
      <c r="C104" s="2" t="s">
        <v>77</v>
      </c>
      <c r="D104" s="2">
        <v>119.0</v>
      </c>
      <c r="E104" s="10">
        <v>1.5</v>
      </c>
      <c r="F104" s="11">
        <f t="shared" si="1"/>
        <v>178.5</v>
      </c>
      <c r="G104" s="11">
        <f t="shared" si="4"/>
        <v>333940.58</v>
      </c>
      <c r="H104" s="9">
        <f t="shared" si="2"/>
        <v>1</v>
      </c>
      <c r="I104" s="2" t="str">
        <f t="shared" si="3"/>
        <v>C</v>
      </c>
    </row>
    <row r="105" ht="15.75" customHeight="1">
      <c r="F105" s="11">
        <f>SUM(F2:F104)</f>
        <v>333940.58</v>
      </c>
      <c r="G105" s="12"/>
      <c r="H105" s="9"/>
    </row>
    <row r="106" ht="15.75" customHeight="1">
      <c r="H106" s="9"/>
    </row>
    <row r="107" ht="15.75" customHeight="1">
      <c r="H107" s="9"/>
    </row>
    <row r="108" ht="15.75" customHeight="1">
      <c r="H108" s="9"/>
    </row>
    <row r="109" ht="15.75" customHeight="1">
      <c r="H109" s="9"/>
    </row>
    <row r="110" ht="15.75" customHeight="1">
      <c r="H110" s="9"/>
    </row>
    <row r="111" ht="15.75" customHeight="1">
      <c r="H111" s="9"/>
    </row>
    <row r="112" ht="15.75" customHeight="1">
      <c r="H112" s="9"/>
    </row>
    <row r="113" ht="15.75" customHeight="1">
      <c r="H113" s="9"/>
    </row>
    <row r="114" ht="15.75" customHeight="1">
      <c r="H114" s="9"/>
    </row>
    <row r="115" ht="15.75" customHeight="1">
      <c r="H115" s="9"/>
    </row>
    <row r="116" ht="15.75" customHeight="1">
      <c r="H116" s="9"/>
    </row>
    <row r="117" ht="15.75" customHeight="1">
      <c r="H117" s="9"/>
    </row>
    <row r="118" ht="15.75" customHeight="1">
      <c r="H118" s="9"/>
    </row>
    <row r="119" ht="15.75" customHeight="1">
      <c r="H119" s="9"/>
    </row>
    <row r="120" ht="15.75" customHeight="1">
      <c r="H120" s="9"/>
    </row>
    <row r="121" ht="15.75" customHeight="1">
      <c r="H121" s="9"/>
    </row>
    <row r="122" ht="15.75" customHeight="1">
      <c r="H122" s="9"/>
    </row>
    <row r="123" ht="15.75" customHeight="1">
      <c r="H123" s="9"/>
    </row>
    <row r="124" ht="15.75" customHeight="1">
      <c r="H124" s="9"/>
    </row>
    <row r="125" ht="15.75" customHeight="1">
      <c r="H125" s="9"/>
    </row>
    <row r="126" ht="15.75" customHeight="1">
      <c r="H126" s="9"/>
    </row>
    <row r="127" ht="15.75" customHeight="1">
      <c r="H127" s="9"/>
    </row>
    <row r="128" ht="15.75" customHeight="1">
      <c r="H128" s="9"/>
    </row>
    <row r="129" ht="15.75" customHeight="1">
      <c r="H129" s="9"/>
    </row>
    <row r="130" ht="15.75" customHeight="1">
      <c r="H130" s="9"/>
    </row>
    <row r="131" ht="15.75" customHeight="1">
      <c r="H131" s="9"/>
    </row>
    <row r="132" ht="15.75" customHeight="1">
      <c r="H132" s="9"/>
    </row>
    <row r="133" ht="15.75" customHeight="1">
      <c r="H133" s="9"/>
    </row>
    <row r="134" ht="15.75" customHeight="1">
      <c r="H134" s="9"/>
    </row>
    <row r="135" ht="15.75" customHeight="1">
      <c r="H135" s="9"/>
    </row>
    <row r="136" ht="15.75" customHeight="1">
      <c r="H136" s="9"/>
    </row>
    <row r="137" ht="15.75" customHeight="1">
      <c r="H137" s="9"/>
    </row>
    <row r="138" ht="15.75" customHeight="1">
      <c r="H138" s="9"/>
    </row>
    <row r="139" ht="15.75" customHeight="1">
      <c r="H139" s="9"/>
    </row>
    <row r="140" ht="15.75" customHeight="1">
      <c r="H140" s="9"/>
    </row>
    <row r="141" ht="15.75" customHeight="1">
      <c r="H141" s="9"/>
    </row>
    <row r="142" ht="15.75" customHeight="1">
      <c r="H142" s="9"/>
    </row>
    <row r="143" ht="15.75" customHeight="1">
      <c r="H143" s="9"/>
    </row>
    <row r="144" ht="15.75" customHeight="1">
      <c r="H144" s="9"/>
    </row>
    <row r="145" ht="15.75" customHeight="1">
      <c r="H145" s="9"/>
    </row>
    <row r="146" ht="15.75" customHeight="1">
      <c r="H146" s="9"/>
    </row>
    <row r="147" ht="15.75" customHeight="1">
      <c r="H147" s="9"/>
    </row>
    <row r="148" ht="15.75" customHeight="1">
      <c r="H148" s="9"/>
    </row>
    <row r="149" ht="15.75" customHeight="1">
      <c r="H149" s="9"/>
    </row>
    <row r="150" ht="15.75" customHeight="1">
      <c r="H150" s="9"/>
    </row>
    <row r="151" ht="15.75" customHeight="1">
      <c r="H151" s="9"/>
    </row>
    <row r="152" ht="15.75" customHeight="1">
      <c r="H152" s="9"/>
    </row>
    <row r="153" ht="15.75" customHeight="1">
      <c r="H153" s="9"/>
    </row>
    <row r="154" ht="15.75" customHeight="1">
      <c r="H154" s="9"/>
    </row>
    <row r="155" ht="15.75" customHeight="1">
      <c r="H155" s="9"/>
    </row>
    <row r="156" ht="15.75" customHeight="1">
      <c r="H156" s="9"/>
    </row>
    <row r="157" ht="15.75" customHeight="1">
      <c r="H157" s="9"/>
    </row>
    <row r="158" ht="15.75" customHeight="1">
      <c r="H158" s="9"/>
    </row>
    <row r="159" ht="15.75" customHeight="1">
      <c r="H159" s="9"/>
    </row>
    <row r="160" ht="15.75" customHeight="1">
      <c r="H160" s="9"/>
    </row>
    <row r="161" ht="15.75" customHeight="1">
      <c r="H161" s="9"/>
    </row>
    <row r="162" ht="15.75" customHeight="1">
      <c r="H162" s="9"/>
    </row>
    <row r="163" ht="15.75" customHeight="1">
      <c r="H163" s="9"/>
    </row>
    <row r="164" ht="15.75" customHeight="1">
      <c r="H164" s="9"/>
    </row>
    <row r="165" ht="15.75" customHeight="1">
      <c r="H165" s="9"/>
    </row>
    <row r="166" ht="15.75" customHeight="1">
      <c r="H166" s="9"/>
    </row>
    <row r="167" ht="15.75" customHeight="1">
      <c r="H167" s="9"/>
    </row>
    <row r="168" ht="15.75" customHeight="1">
      <c r="H168" s="9"/>
    </row>
    <row r="169" ht="15.75" customHeight="1">
      <c r="H169" s="9"/>
    </row>
    <row r="170" ht="15.75" customHeight="1">
      <c r="H170" s="9"/>
    </row>
    <row r="171" ht="15.75" customHeight="1">
      <c r="H171" s="9"/>
    </row>
    <row r="172" ht="15.75" customHeight="1">
      <c r="H172" s="9"/>
    </row>
    <row r="173" ht="15.75" customHeight="1">
      <c r="H173" s="9"/>
    </row>
    <row r="174" ht="15.75" customHeight="1">
      <c r="H174" s="9"/>
    </row>
    <row r="175" ht="15.75" customHeight="1">
      <c r="H175" s="9"/>
    </row>
    <row r="176" ht="15.75" customHeight="1">
      <c r="H176" s="9"/>
    </row>
    <row r="177" ht="15.75" customHeight="1">
      <c r="H177" s="9"/>
    </row>
    <row r="178" ht="15.75" customHeight="1">
      <c r="H178" s="9"/>
    </row>
    <row r="179" ht="15.75" customHeight="1">
      <c r="H179" s="9"/>
    </row>
    <row r="180" ht="15.75" customHeight="1">
      <c r="H180" s="9"/>
    </row>
    <row r="181" ht="15.75" customHeight="1">
      <c r="H181" s="9"/>
    </row>
    <row r="182" ht="15.75" customHeight="1">
      <c r="H182" s="9"/>
    </row>
    <row r="183" ht="15.75" customHeight="1">
      <c r="H183" s="9"/>
    </row>
    <row r="184" ht="15.75" customHeight="1">
      <c r="H184" s="9"/>
    </row>
    <row r="185" ht="15.75" customHeight="1">
      <c r="H185" s="9"/>
    </row>
    <row r="186" ht="15.75" customHeight="1">
      <c r="H186" s="9"/>
    </row>
    <row r="187" ht="15.75" customHeight="1">
      <c r="H187" s="9"/>
    </row>
    <row r="188" ht="15.75" customHeight="1">
      <c r="H188" s="9"/>
    </row>
    <row r="189" ht="15.75" customHeight="1">
      <c r="H189" s="9"/>
    </row>
    <row r="190" ht="15.75" customHeight="1">
      <c r="H190" s="9"/>
    </row>
    <row r="191" ht="15.75" customHeight="1">
      <c r="H191" s="9"/>
    </row>
    <row r="192" ht="15.75" customHeight="1">
      <c r="H192" s="9"/>
    </row>
    <row r="193" ht="15.75" customHeight="1">
      <c r="H193" s="9"/>
    </row>
    <row r="194" ht="15.75" customHeight="1">
      <c r="H194" s="9"/>
    </row>
    <row r="195" ht="15.75" customHeight="1">
      <c r="H195" s="9"/>
    </row>
    <row r="196" ht="15.75" customHeight="1">
      <c r="H196" s="9"/>
    </row>
    <row r="197" ht="15.75" customHeight="1">
      <c r="H197" s="9"/>
    </row>
    <row r="198" ht="15.75" customHeight="1">
      <c r="H198" s="9"/>
    </row>
    <row r="199" ht="15.75" customHeight="1">
      <c r="H199" s="9"/>
    </row>
    <row r="200" ht="15.75" customHeight="1">
      <c r="H200" s="9"/>
    </row>
    <row r="201" ht="15.75" customHeight="1">
      <c r="H201" s="9"/>
    </row>
    <row r="202" ht="15.75" customHeight="1">
      <c r="H202" s="9"/>
    </row>
    <row r="203" ht="15.75" customHeight="1">
      <c r="H203" s="9"/>
    </row>
    <row r="204" ht="15.75" customHeight="1">
      <c r="H204" s="9"/>
    </row>
    <row r="205" ht="15.75" customHeight="1">
      <c r="H205" s="9"/>
    </row>
    <row r="206" ht="15.75" customHeight="1">
      <c r="H206" s="9"/>
    </row>
    <row r="207" ht="15.75" customHeight="1">
      <c r="H207" s="9"/>
    </row>
    <row r="208" ht="15.75" customHeight="1">
      <c r="H208" s="9"/>
    </row>
    <row r="209" ht="15.75" customHeight="1">
      <c r="H209" s="9"/>
    </row>
    <row r="210" ht="15.75" customHeight="1">
      <c r="H210" s="9"/>
    </row>
    <row r="211" ht="15.75" customHeight="1">
      <c r="H211" s="9"/>
    </row>
    <row r="212" ht="15.75" customHeight="1">
      <c r="H212" s="9"/>
    </row>
    <row r="213" ht="15.75" customHeight="1">
      <c r="H213" s="9"/>
    </row>
    <row r="214" ht="15.75" customHeight="1">
      <c r="H214" s="9"/>
    </row>
    <row r="215" ht="15.75" customHeight="1">
      <c r="H215" s="9"/>
    </row>
    <row r="216" ht="15.75" customHeight="1">
      <c r="H216" s="9"/>
    </row>
    <row r="217" ht="15.75" customHeight="1">
      <c r="H217" s="9"/>
    </row>
    <row r="218" ht="15.75" customHeight="1">
      <c r="H218" s="9"/>
    </row>
    <row r="219" ht="15.75" customHeight="1">
      <c r="H219" s="9"/>
    </row>
    <row r="220" ht="15.75" customHeight="1">
      <c r="H220" s="9"/>
    </row>
    <row r="221" ht="15.75" customHeight="1">
      <c r="H221" s="9"/>
    </row>
    <row r="222" ht="15.75" customHeight="1">
      <c r="H222" s="9"/>
    </row>
    <row r="223" ht="15.75" customHeight="1">
      <c r="H223" s="9"/>
    </row>
    <row r="224" ht="15.75" customHeight="1">
      <c r="H224" s="9"/>
    </row>
    <row r="225" ht="15.75" customHeight="1">
      <c r="H225" s="9"/>
    </row>
    <row r="226" ht="15.75" customHeight="1">
      <c r="H226" s="9"/>
    </row>
    <row r="227" ht="15.75" customHeight="1">
      <c r="H227" s="9"/>
    </row>
    <row r="228" ht="15.75" customHeight="1">
      <c r="H228" s="9"/>
    </row>
    <row r="229" ht="15.75" customHeight="1">
      <c r="H229" s="9"/>
    </row>
    <row r="230" ht="15.75" customHeight="1">
      <c r="H230" s="9"/>
    </row>
    <row r="231" ht="15.75" customHeight="1">
      <c r="H231" s="9"/>
    </row>
    <row r="232" ht="15.75" customHeight="1">
      <c r="H232" s="9"/>
    </row>
    <row r="233" ht="15.75" customHeight="1">
      <c r="H233" s="9"/>
    </row>
    <row r="234" ht="15.75" customHeight="1">
      <c r="H234" s="9"/>
    </row>
    <row r="235" ht="15.75" customHeight="1">
      <c r="H235" s="9"/>
    </row>
    <row r="236" ht="15.75" customHeight="1">
      <c r="H236" s="9"/>
    </row>
    <row r="237" ht="15.75" customHeight="1">
      <c r="H237" s="9"/>
    </row>
    <row r="238" ht="15.75" customHeight="1">
      <c r="H238" s="9"/>
    </row>
    <row r="239" ht="15.75" customHeight="1">
      <c r="H239" s="9"/>
    </row>
    <row r="240" ht="15.75" customHeight="1">
      <c r="H240" s="9"/>
    </row>
    <row r="241" ht="15.75" customHeight="1">
      <c r="H241" s="9"/>
    </row>
    <row r="242" ht="15.75" customHeight="1">
      <c r="H242" s="9"/>
    </row>
    <row r="243" ht="15.75" customHeight="1">
      <c r="H243" s="9"/>
    </row>
    <row r="244" ht="15.75" customHeight="1">
      <c r="H244" s="9"/>
    </row>
    <row r="245" ht="15.75" customHeight="1">
      <c r="H245" s="9"/>
    </row>
    <row r="246" ht="15.75" customHeight="1">
      <c r="H246" s="9"/>
    </row>
    <row r="247" ht="15.75" customHeight="1">
      <c r="H247" s="9"/>
    </row>
    <row r="248" ht="15.75" customHeight="1">
      <c r="H248" s="9"/>
    </row>
    <row r="249" ht="15.75" customHeight="1">
      <c r="H249" s="9"/>
    </row>
    <row r="250" ht="15.75" customHeight="1">
      <c r="H250" s="9"/>
    </row>
    <row r="251" ht="15.75" customHeight="1">
      <c r="H251" s="9"/>
    </row>
    <row r="252" ht="15.75" customHeight="1">
      <c r="H252" s="9"/>
    </row>
    <row r="253" ht="15.75" customHeight="1">
      <c r="H253" s="9"/>
    </row>
    <row r="254" ht="15.75" customHeight="1">
      <c r="H254" s="9"/>
    </row>
    <row r="255" ht="15.75" customHeight="1">
      <c r="H255" s="9"/>
    </row>
    <row r="256" ht="15.75" customHeight="1">
      <c r="H256" s="9"/>
    </row>
    <row r="257" ht="15.75" customHeight="1">
      <c r="H257" s="9"/>
    </row>
    <row r="258" ht="15.75" customHeight="1">
      <c r="H258" s="9"/>
    </row>
    <row r="259" ht="15.75" customHeight="1">
      <c r="H259" s="9"/>
    </row>
    <row r="260" ht="15.75" customHeight="1">
      <c r="H260" s="9"/>
    </row>
    <row r="261" ht="15.75" customHeight="1">
      <c r="H261" s="9"/>
    </row>
    <row r="262" ht="15.75" customHeight="1">
      <c r="H262" s="9"/>
    </row>
    <row r="263" ht="15.75" customHeight="1">
      <c r="H263" s="9"/>
    </row>
    <row r="264" ht="15.75" customHeight="1">
      <c r="H264" s="9"/>
    </row>
    <row r="265" ht="15.75" customHeight="1">
      <c r="H265" s="9"/>
    </row>
    <row r="266" ht="15.75" customHeight="1">
      <c r="H266" s="9"/>
    </row>
    <row r="267" ht="15.75" customHeight="1">
      <c r="H267" s="9"/>
    </row>
    <row r="268" ht="15.75" customHeight="1">
      <c r="H268" s="9"/>
    </row>
    <row r="269" ht="15.75" customHeight="1">
      <c r="H269" s="9"/>
    </row>
    <row r="270" ht="15.75" customHeight="1">
      <c r="H270" s="9"/>
    </row>
    <row r="271" ht="15.75" customHeight="1">
      <c r="H271" s="9"/>
    </row>
    <row r="272" ht="15.75" customHeight="1">
      <c r="H272" s="9"/>
    </row>
    <row r="273" ht="15.75" customHeight="1">
      <c r="H273" s="9"/>
    </row>
    <row r="274" ht="15.75" customHeight="1">
      <c r="H274" s="9"/>
    </row>
    <row r="275" ht="15.75" customHeight="1">
      <c r="H275" s="9"/>
    </row>
    <row r="276" ht="15.75" customHeight="1">
      <c r="H276" s="9"/>
    </row>
    <row r="277" ht="15.75" customHeight="1">
      <c r="H277" s="9"/>
    </row>
    <row r="278" ht="15.75" customHeight="1">
      <c r="H278" s="9"/>
    </row>
    <row r="279" ht="15.75" customHeight="1">
      <c r="H279" s="9"/>
    </row>
    <row r="280" ht="15.75" customHeight="1">
      <c r="H280" s="9"/>
    </row>
    <row r="281" ht="15.75" customHeight="1">
      <c r="H281" s="9"/>
    </row>
    <row r="282" ht="15.75" customHeight="1">
      <c r="H282" s="9"/>
    </row>
    <row r="283" ht="15.75" customHeight="1">
      <c r="H283" s="9"/>
    </row>
    <row r="284" ht="15.75" customHeight="1">
      <c r="H284" s="9"/>
    </row>
    <row r="285" ht="15.75" customHeight="1">
      <c r="H285" s="9"/>
    </row>
    <row r="286" ht="15.75" customHeight="1">
      <c r="H286" s="9"/>
    </row>
    <row r="287" ht="15.75" customHeight="1">
      <c r="H287" s="9"/>
    </row>
    <row r="288" ht="15.75" customHeight="1">
      <c r="H288" s="9"/>
    </row>
    <row r="289" ht="15.75" customHeight="1">
      <c r="H289" s="9"/>
    </row>
    <row r="290" ht="15.75" customHeight="1">
      <c r="H290" s="9"/>
    </row>
    <row r="291" ht="15.75" customHeight="1">
      <c r="H291" s="9"/>
    </row>
    <row r="292" ht="15.75" customHeight="1">
      <c r="H292" s="9"/>
    </row>
    <row r="293" ht="15.75" customHeight="1">
      <c r="H293" s="9"/>
    </row>
    <row r="294" ht="15.75" customHeight="1">
      <c r="H294" s="9"/>
    </row>
    <row r="295" ht="15.75" customHeight="1">
      <c r="H295" s="9"/>
    </row>
    <row r="296" ht="15.75" customHeight="1">
      <c r="H296" s="9"/>
    </row>
    <row r="297" ht="15.75" customHeight="1">
      <c r="H297" s="9"/>
    </row>
    <row r="298" ht="15.75" customHeight="1">
      <c r="H298" s="9"/>
    </row>
    <row r="299" ht="15.75" customHeight="1">
      <c r="H299" s="9"/>
    </row>
    <row r="300" ht="15.75" customHeight="1">
      <c r="H300" s="9"/>
    </row>
    <row r="301" ht="15.75" customHeight="1">
      <c r="H301" s="9"/>
    </row>
    <row r="302" ht="15.75" customHeight="1">
      <c r="H302" s="9"/>
    </row>
    <row r="303" ht="15.75" customHeight="1">
      <c r="H303" s="9"/>
    </row>
    <row r="304" ht="15.75" customHeight="1">
      <c r="H304" s="9"/>
    </row>
    <row r="305" ht="15.75" customHeight="1">
      <c r="H305" s="9"/>
    </row>
    <row r="306" ht="15.75" customHeight="1">
      <c r="H306" s="9"/>
    </row>
    <row r="307" ht="15.75" customHeight="1">
      <c r="H307" s="9"/>
    </row>
    <row r="308" ht="15.75" customHeight="1">
      <c r="H308" s="9"/>
    </row>
    <row r="309" ht="15.75" customHeight="1">
      <c r="H309" s="9"/>
    </row>
    <row r="310" ht="15.75" customHeight="1">
      <c r="H310" s="9"/>
    </row>
    <row r="311" ht="15.75" customHeight="1">
      <c r="H311" s="9"/>
    </row>
    <row r="312" ht="15.75" customHeight="1">
      <c r="H312" s="9"/>
    </row>
    <row r="313" ht="15.75" customHeight="1">
      <c r="H313" s="9"/>
    </row>
    <row r="314" ht="15.75" customHeight="1">
      <c r="H314" s="9"/>
    </row>
    <row r="315" ht="15.75" customHeight="1">
      <c r="H315" s="9"/>
    </row>
    <row r="316" ht="15.75" customHeight="1">
      <c r="H316" s="9"/>
    </row>
    <row r="317" ht="15.75" customHeight="1">
      <c r="H317" s="9"/>
    </row>
    <row r="318" ht="15.75" customHeight="1">
      <c r="H318" s="9"/>
    </row>
    <row r="319" ht="15.75" customHeight="1">
      <c r="H319" s="9"/>
    </row>
    <row r="320" ht="15.75" customHeight="1">
      <c r="H320" s="9"/>
    </row>
    <row r="321" ht="15.75" customHeight="1">
      <c r="H321" s="9"/>
    </row>
    <row r="322" ht="15.75" customHeight="1">
      <c r="H322" s="9"/>
    </row>
    <row r="323" ht="15.75" customHeight="1">
      <c r="H323" s="9"/>
    </row>
    <row r="324" ht="15.75" customHeight="1">
      <c r="H324" s="9"/>
    </row>
    <row r="325" ht="15.75" customHeight="1">
      <c r="H325" s="9"/>
    </row>
    <row r="326" ht="15.75" customHeight="1">
      <c r="H326" s="9"/>
    </row>
    <row r="327" ht="15.75" customHeight="1">
      <c r="H327" s="9"/>
    </row>
    <row r="328" ht="15.75" customHeight="1">
      <c r="H328" s="9"/>
    </row>
    <row r="329" ht="15.75" customHeight="1">
      <c r="H329" s="9"/>
    </row>
    <row r="330" ht="15.75" customHeight="1">
      <c r="H330" s="9"/>
    </row>
    <row r="331" ht="15.75" customHeight="1">
      <c r="H331" s="9"/>
    </row>
    <row r="332" ht="15.75" customHeight="1">
      <c r="H332" s="9"/>
    </row>
    <row r="333" ht="15.75" customHeight="1">
      <c r="H333" s="9"/>
    </row>
    <row r="334" ht="15.75" customHeight="1">
      <c r="H334" s="9"/>
    </row>
    <row r="335" ht="15.75" customHeight="1">
      <c r="H335" s="9"/>
    </row>
    <row r="336" ht="15.75" customHeight="1">
      <c r="H336" s="9"/>
    </row>
    <row r="337" ht="15.75" customHeight="1">
      <c r="H337" s="9"/>
    </row>
    <row r="338" ht="15.75" customHeight="1">
      <c r="H338" s="9"/>
    </row>
    <row r="339" ht="15.75" customHeight="1">
      <c r="H339" s="9"/>
    </row>
    <row r="340" ht="15.75" customHeight="1">
      <c r="H340" s="9"/>
    </row>
    <row r="341" ht="15.75" customHeight="1">
      <c r="H341" s="9"/>
    </row>
    <row r="342" ht="15.75" customHeight="1">
      <c r="H342" s="9"/>
    </row>
    <row r="343" ht="15.75" customHeight="1">
      <c r="H343" s="9"/>
    </row>
    <row r="344" ht="15.75" customHeight="1">
      <c r="H344" s="9"/>
    </row>
    <row r="345" ht="15.75" customHeight="1">
      <c r="H345" s="9"/>
    </row>
    <row r="346" ht="15.75" customHeight="1">
      <c r="H346" s="9"/>
    </row>
    <row r="347" ht="15.75" customHeight="1">
      <c r="H347" s="9"/>
    </row>
    <row r="348" ht="15.75" customHeight="1">
      <c r="H348" s="9"/>
    </row>
    <row r="349" ht="15.75" customHeight="1">
      <c r="H349" s="9"/>
    </row>
    <row r="350" ht="15.75" customHeight="1">
      <c r="H350" s="9"/>
    </row>
    <row r="351" ht="15.75" customHeight="1">
      <c r="H351" s="9"/>
    </row>
    <row r="352" ht="15.75" customHeight="1">
      <c r="H352" s="9"/>
    </row>
    <row r="353" ht="15.75" customHeight="1">
      <c r="H353" s="9"/>
    </row>
    <row r="354" ht="15.75" customHeight="1">
      <c r="H354" s="9"/>
    </row>
    <row r="355" ht="15.75" customHeight="1">
      <c r="H355" s="9"/>
    </row>
    <row r="356" ht="15.75" customHeight="1">
      <c r="H356" s="9"/>
    </row>
    <row r="357" ht="15.75" customHeight="1">
      <c r="H357" s="9"/>
    </row>
    <row r="358" ht="15.75" customHeight="1">
      <c r="H358" s="9"/>
    </row>
    <row r="359" ht="15.75" customHeight="1">
      <c r="H359" s="9"/>
    </row>
    <row r="360" ht="15.75" customHeight="1">
      <c r="H360" s="9"/>
    </row>
    <row r="361" ht="15.75" customHeight="1">
      <c r="H361" s="9"/>
    </row>
    <row r="362" ht="15.75" customHeight="1">
      <c r="H362" s="9"/>
    </row>
    <row r="363" ht="15.75" customHeight="1">
      <c r="H363" s="9"/>
    </row>
    <row r="364" ht="15.75" customHeight="1">
      <c r="H364" s="9"/>
    </row>
    <row r="365" ht="15.75" customHeight="1">
      <c r="H365" s="9"/>
    </row>
    <row r="366" ht="15.75" customHeight="1">
      <c r="H366" s="9"/>
    </row>
    <row r="367" ht="15.75" customHeight="1">
      <c r="H367" s="9"/>
    </row>
    <row r="368" ht="15.75" customHeight="1">
      <c r="H368" s="9"/>
    </row>
    <row r="369" ht="15.75" customHeight="1">
      <c r="H369" s="9"/>
    </row>
    <row r="370" ht="15.75" customHeight="1">
      <c r="H370" s="9"/>
    </row>
    <row r="371" ht="15.75" customHeight="1">
      <c r="H371" s="9"/>
    </row>
    <row r="372" ht="15.75" customHeight="1">
      <c r="H372" s="9"/>
    </row>
    <row r="373" ht="15.75" customHeight="1">
      <c r="H373" s="9"/>
    </row>
    <row r="374" ht="15.75" customHeight="1">
      <c r="H374" s="9"/>
    </row>
    <row r="375" ht="15.75" customHeight="1">
      <c r="H375" s="9"/>
    </row>
    <row r="376" ht="15.75" customHeight="1">
      <c r="H376" s="9"/>
    </row>
    <row r="377" ht="15.75" customHeight="1">
      <c r="H377" s="9"/>
    </row>
    <row r="378" ht="15.75" customHeight="1">
      <c r="H378" s="9"/>
    </row>
    <row r="379" ht="15.75" customHeight="1">
      <c r="H379" s="9"/>
    </row>
    <row r="380" ht="15.75" customHeight="1">
      <c r="H380" s="9"/>
    </row>
    <row r="381" ht="15.75" customHeight="1">
      <c r="H381" s="9"/>
    </row>
    <row r="382" ht="15.75" customHeight="1">
      <c r="H382" s="9"/>
    </row>
    <row r="383" ht="15.75" customHeight="1">
      <c r="H383" s="9"/>
    </row>
    <row r="384" ht="15.75" customHeight="1">
      <c r="H384" s="9"/>
    </row>
    <row r="385" ht="15.75" customHeight="1">
      <c r="H385" s="9"/>
    </row>
    <row r="386" ht="15.75" customHeight="1">
      <c r="H386" s="9"/>
    </row>
    <row r="387" ht="15.75" customHeight="1">
      <c r="H387" s="9"/>
    </row>
    <row r="388" ht="15.75" customHeight="1">
      <c r="H388" s="9"/>
    </row>
    <row r="389" ht="15.75" customHeight="1">
      <c r="H389" s="9"/>
    </row>
    <row r="390" ht="15.75" customHeight="1">
      <c r="H390" s="9"/>
    </row>
    <row r="391" ht="15.75" customHeight="1">
      <c r="H391" s="9"/>
    </row>
    <row r="392" ht="15.75" customHeight="1">
      <c r="H392" s="9"/>
    </row>
    <row r="393" ht="15.75" customHeight="1">
      <c r="H393" s="9"/>
    </row>
    <row r="394" ht="15.75" customHeight="1">
      <c r="H394" s="9"/>
    </row>
    <row r="395" ht="15.75" customHeight="1">
      <c r="H395" s="9"/>
    </row>
    <row r="396" ht="15.75" customHeight="1">
      <c r="H396" s="9"/>
    </row>
    <row r="397" ht="15.75" customHeight="1">
      <c r="H397" s="9"/>
    </row>
    <row r="398" ht="15.75" customHeight="1">
      <c r="H398" s="9"/>
    </row>
    <row r="399" ht="15.75" customHeight="1">
      <c r="H399" s="9"/>
    </row>
    <row r="400" ht="15.75" customHeight="1">
      <c r="H400" s="9"/>
    </row>
    <row r="401" ht="15.75" customHeight="1">
      <c r="H401" s="9"/>
    </row>
    <row r="402" ht="15.75" customHeight="1">
      <c r="H402" s="9"/>
    </row>
    <row r="403" ht="15.75" customHeight="1">
      <c r="H403" s="9"/>
    </row>
    <row r="404" ht="15.75" customHeight="1">
      <c r="H404" s="9"/>
    </row>
    <row r="405" ht="15.75" customHeight="1">
      <c r="H405" s="9"/>
    </row>
    <row r="406" ht="15.75" customHeight="1">
      <c r="H406" s="9"/>
    </row>
    <row r="407" ht="15.75" customHeight="1">
      <c r="H407" s="9"/>
    </row>
    <row r="408" ht="15.75" customHeight="1">
      <c r="H408" s="9"/>
    </row>
    <row r="409" ht="15.75" customHeight="1">
      <c r="H409" s="9"/>
    </row>
    <row r="410" ht="15.75" customHeight="1">
      <c r="H410" s="9"/>
    </row>
    <row r="411" ht="15.75" customHeight="1">
      <c r="H411" s="9"/>
    </row>
    <row r="412" ht="15.75" customHeight="1">
      <c r="H412" s="9"/>
    </row>
    <row r="413" ht="15.75" customHeight="1">
      <c r="H413" s="9"/>
    </row>
    <row r="414" ht="15.75" customHeight="1">
      <c r="H414" s="9"/>
    </row>
    <row r="415" ht="15.75" customHeight="1">
      <c r="H415" s="9"/>
    </row>
    <row r="416" ht="15.75" customHeight="1">
      <c r="H416" s="9"/>
    </row>
    <row r="417" ht="15.75" customHeight="1">
      <c r="H417" s="9"/>
    </row>
    <row r="418" ht="15.75" customHeight="1">
      <c r="H418" s="9"/>
    </row>
    <row r="419" ht="15.75" customHeight="1">
      <c r="H419" s="9"/>
    </row>
    <row r="420" ht="15.75" customHeight="1">
      <c r="H420" s="9"/>
    </row>
    <row r="421" ht="15.75" customHeight="1">
      <c r="H421" s="9"/>
    </row>
    <row r="422" ht="15.75" customHeight="1">
      <c r="H422" s="9"/>
    </row>
    <row r="423" ht="15.75" customHeight="1">
      <c r="H423" s="9"/>
    </row>
    <row r="424" ht="15.75" customHeight="1">
      <c r="H424" s="9"/>
    </row>
    <row r="425" ht="15.75" customHeight="1">
      <c r="H425" s="9"/>
    </row>
    <row r="426" ht="15.75" customHeight="1">
      <c r="H426" s="9"/>
    </row>
    <row r="427" ht="15.75" customHeight="1">
      <c r="H427" s="9"/>
    </row>
    <row r="428" ht="15.75" customHeight="1">
      <c r="H428" s="9"/>
    </row>
    <row r="429" ht="15.75" customHeight="1">
      <c r="H429" s="9"/>
    </row>
    <row r="430" ht="15.75" customHeight="1">
      <c r="H430" s="9"/>
    </row>
    <row r="431" ht="15.75" customHeight="1">
      <c r="H431" s="9"/>
    </row>
    <row r="432" ht="15.75" customHeight="1">
      <c r="H432" s="9"/>
    </row>
    <row r="433" ht="15.75" customHeight="1">
      <c r="H433" s="9"/>
    </row>
    <row r="434" ht="15.75" customHeight="1">
      <c r="H434" s="9"/>
    </row>
    <row r="435" ht="15.75" customHeight="1">
      <c r="H435" s="9"/>
    </row>
    <row r="436" ht="15.75" customHeight="1">
      <c r="H436" s="9"/>
    </row>
    <row r="437" ht="15.75" customHeight="1">
      <c r="H437" s="9"/>
    </row>
    <row r="438" ht="15.75" customHeight="1">
      <c r="H438" s="9"/>
    </row>
    <row r="439" ht="15.75" customHeight="1">
      <c r="H439" s="9"/>
    </row>
    <row r="440" ht="15.75" customHeight="1">
      <c r="H440" s="9"/>
    </row>
    <row r="441" ht="15.75" customHeight="1">
      <c r="H441" s="9"/>
    </row>
    <row r="442" ht="15.75" customHeight="1">
      <c r="H442" s="9"/>
    </row>
    <row r="443" ht="15.75" customHeight="1">
      <c r="H443" s="9"/>
    </row>
    <row r="444" ht="15.75" customHeight="1">
      <c r="H444" s="9"/>
    </row>
    <row r="445" ht="15.75" customHeight="1">
      <c r="H445" s="9"/>
    </row>
    <row r="446" ht="15.75" customHeight="1">
      <c r="H446" s="9"/>
    </row>
    <row r="447" ht="15.75" customHeight="1">
      <c r="H447" s="9"/>
    </row>
    <row r="448" ht="15.75" customHeight="1">
      <c r="H448" s="9"/>
    </row>
    <row r="449" ht="15.75" customHeight="1">
      <c r="H449" s="9"/>
    </row>
    <row r="450" ht="15.75" customHeight="1">
      <c r="H450" s="9"/>
    </row>
    <row r="451" ht="15.75" customHeight="1">
      <c r="H451" s="9"/>
    </row>
    <row r="452" ht="15.75" customHeight="1">
      <c r="H452" s="9"/>
    </row>
    <row r="453" ht="15.75" customHeight="1">
      <c r="H453" s="9"/>
    </row>
    <row r="454" ht="15.75" customHeight="1">
      <c r="H454" s="9"/>
    </row>
    <row r="455" ht="15.75" customHeight="1">
      <c r="H455" s="9"/>
    </row>
    <row r="456" ht="15.75" customHeight="1">
      <c r="H456" s="9"/>
    </row>
    <row r="457" ht="15.75" customHeight="1">
      <c r="H457" s="9"/>
    </row>
    <row r="458" ht="15.75" customHeight="1">
      <c r="H458" s="9"/>
    </row>
    <row r="459" ht="15.75" customHeight="1">
      <c r="H459" s="9"/>
    </row>
    <row r="460" ht="15.75" customHeight="1">
      <c r="H460" s="9"/>
    </row>
    <row r="461" ht="15.75" customHeight="1">
      <c r="H461" s="9"/>
    </row>
    <row r="462" ht="15.75" customHeight="1">
      <c r="H462" s="9"/>
    </row>
    <row r="463" ht="15.75" customHeight="1">
      <c r="H463" s="9"/>
    </row>
    <row r="464" ht="15.75" customHeight="1">
      <c r="H464" s="9"/>
    </row>
    <row r="465" ht="15.75" customHeight="1">
      <c r="H465" s="9"/>
    </row>
    <row r="466" ht="15.75" customHeight="1">
      <c r="H466" s="9"/>
    </row>
    <row r="467" ht="15.75" customHeight="1">
      <c r="H467" s="9"/>
    </row>
    <row r="468" ht="15.75" customHeight="1">
      <c r="H468" s="9"/>
    </row>
    <row r="469" ht="15.75" customHeight="1">
      <c r="H469" s="9"/>
    </row>
    <row r="470" ht="15.75" customHeight="1">
      <c r="H470" s="9"/>
    </row>
    <row r="471" ht="15.75" customHeight="1">
      <c r="H471" s="9"/>
    </row>
    <row r="472" ht="15.75" customHeight="1">
      <c r="H472" s="9"/>
    </row>
    <row r="473" ht="15.75" customHeight="1">
      <c r="H473" s="9"/>
    </row>
    <row r="474" ht="15.75" customHeight="1">
      <c r="H474" s="9"/>
    </row>
    <row r="475" ht="15.75" customHeight="1">
      <c r="H475" s="9"/>
    </row>
    <row r="476" ht="15.75" customHeight="1">
      <c r="H476" s="9"/>
    </row>
    <row r="477" ht="15.75" customHeight="1">
      <c r="H477" s="9"/>
    </row>
    <row r="478" ht="15.75" customHeight="1">
      <c r="H478" s="9"/>
    </row>
    <row r="479" ht="15.75" customHeight="1">
      <c r="H479" s="9"/>
    </row>
    <row r="480" ht="15.75" customHeight="1">
      <c r="H480" s="9"/>
    </row>
    <row r="481" ht="15.75" customHeight="1">
      <c r="H481" s="9"/>
    </row>
    <row r="482" ht="15.75" customHeight="1">
      <c r="H482" s="9"/>
    </row>
    <row r="483" ht="15.75" customHeight="1">
      <c r="H483" s="9"/>
    </row>
    <row r="484" ht="15.75" customHeight="1">
      <c r="H484" s="9"/>
    </row>
    <row r="485" ht="15.75" customHeight="1">
      <c r="H485" s="9"/>
    </row>
    <row r="486" ht="15.75" customHeight="1">
      <c r="H486" s="9"/>
    </row>
    <row r="487" ht="15.75" customHeight="1">
      <c r="H487" s="9"/>
    </row>
    <row r="488" ht="15.75" customHeight="1">
      <c r="H488" s="9"/>
    </row>
    <row r="489" ht="15.75" customHeight="1">
      <c r="H489" s="9"/>
    </row>
    <row r="490" ht="15.75" customHeight="1">
      <c r="H490" s="9"/>
    </row>
    <row r="491" ht="15.75" customHeight="1">
      <c r="H491" s="9"/>
    </row>
    <row r="492" ht="15.75" customHeight="1">
      <c r="H492" s="9"/>
    </row>
    <row r="493" ht="15.75" customHeight="1">
      <c r="H493" s="9"/>
    </row>
    <row r="494" ht="15.75" customHeight="1">
      <c r="H494" s="9"/>
    </row>
    <row r="495" ht="15.75" customHeight="1">
      <c r="H495" s="9"/>
    </row>
    <row r="496" ht="15.75" customHeight="1">
      <c r="H496" s="9"/>
    </row>
    <row r="497" ht="15.75" customHeight="1">
      <c r="H497" s="9"/>
    </row>
    <row r="498" ht="15.75" customHeight="1">
      <c r="H498" s="9"/>
    </row>
    <row r="499" ht="15.75" customHeight="1">
      <c r="H499" s="9"/>
    </row>
    <row r="500" ht="15.75" customHeight="1">
      <c r="H500" s="9"/>
    </row>
    <row r="501" ht="15.75" customHeight="1">
      <c r="H501" s="9"/>
    </row>
    <row r="502" ht="15.75" customHeight="1">
      <c r="H502" s="9"/>
    </row>
    <row r="503" ht="15.75" customHeight="1">
      <c r="H503" s="9"/>
    </row>
    <row r="504" ht="15.75" customHeight="1">
      <c r="H504" s="9"/>
    </row>
    <row r="505" ht="15.75" customHeight="1">
      <c r="H505" s="9"/>
    </row>
    <row r="506" ht="15.75" customHeight="1">
      <c r="H506" s="9"/>
    </row>
    <row r="507" ht="15.75" customHeight="1">
      <c r="H507" s="9"/>
    </row>
    <row r="508" ht="15.75" customHeight="1">
      <c r="H508" s="9"/>
    </row>
    <row r="509" ht="15.75" customHeight="1">
      <c r="H509" s="9"/>
    </row>
    <row r="510" ht="15.75" customHeight="1">
      <c r="H510" s="9"/>
    </row>
    <row r="511" ht="15.75" customHeight="1">
      <c r="H511" s="9"/>
    </row>
    <row r="512" ht="15.75" customHeight="1">
      <c r="H512" s="9"/>
    </row>
    <row r="513" ht="15.75" customHeight="1">
      <c r="H513" s="9"/>
    </row>
    <row r="514" ht="15.75" customHeight="1">
      <c r="H514" s="9"/>
    </row>
    <row r="515" ht="15.75" customHeight="1">
      <c r="H515" s="9"/>
    </row>
    <row r="516" ht="15.75" customHeight="1">
      <c r="H516" s="9"/>
    </row>
    <row r="517" ht="15.75" customHeight="1">
      <c r="H517" s="9"/>
    </row>
    <row r="518" ht="15.75" customHeight="1">
      <c r="H518" s="9"/>
    </row>
    <row r="519" ht="15.75" customHeight="1">
      <c r="H519" s="9"/>
    </row>
    <row r="520" ht="15.75" customHeight="1">
      <c r="H520" s="9"/>
    </row>
    <row r="521" ht="15.75" customHeight="1">
      <c r="H521" s="9"/>
    </row>
    <row r="522" ht="15.75" customHeight="1">
      <c r="H522" s="9"/>
    </row>
    <row r="523" ht="15.75" customHeight="1">
      <c r="H523" s="9"/>
    </row>
    <row r="524" ht="15.75" customHeight="1">
      <c r="H524" s="9"/>
    </row>
    <row r="525" ht="15.75" customHeight="1">
      <c r="H525" s="9"/>
    </row>
    <row r="526" ht="15.75" customHeight="1">
      <c r="H526" s="9"/>
    </row>
    <row r="527" ht="15.75" customHeight="1">
      <c r="H527" s="9"/>
    </row>
    <row r="528" ht="15.75" customHeight="1">
      <c r="H528" s="9"/>
    </row>
    <row r="529" ht="15.75" customHeight="1">
      <c r="H529" s="9"/>
    </row>
    <row r="530" ht="15.75" customHeight="1">
      <c r="H530" s="9"/>
    </row>
    <row r="531" ht="15.75" customHeight="1">
      <c r="H531" s="9"/>
    </row>
    <row r="532" ht="15.75" customHeight="1">
      <c r="H532" s="9"/>
    </row>
    <row r="533" ht="15.75" customHeight="1">
      <c r="H533" s="9"/>
    </row>
    <row r="534" ht="15.75" customHeight="1">
      <c r="H534" s="9"/>
    </row>
    <row r="535" ht="15.75" customHeight="1">
      <c r="H535" s="9"/>
    </row>
    <row r="536" ht="15.75" customHeight="1">
      <c r="H536" s="9"/>
    </row>
    <row r="537" ht="15.75" customHeight="1">
      <c r="H537" s="9"/>
    </row>
    <row r="538" ht="15.75" customHeight="1">
      <c r="H538" s="9"/>
    </row>
    <row r="539" ht="15.75" customHeight="1">
      <c r="H539" s="9"/>
    </row>
    <row r="540" ht="15.75" customHeight="1">
      <c r="H540" s="9"/>
    </row>
    <row r="541" ht="15.75" customHeight="1">
      <c r="H541" s="9"/>
    </row>
    <row r="542" ht="15.75" customHeight="1">
      <c r="H542" s="9"/>
    </row>
    <row r="543" ht="15.75" customHeight="1">
      <c r="H543" s="9"/>
    </row>
    <row r="544" ht="15.75" customHeight="1">
      <c r="H544" s="9"/>
    </row>
    <row r="545" ht="15.75" customHeight="1">
      <c r="H545" s="9"/>
    </row>
    <row r="546" ht="15.75" customHeight="1">
      <c r="H546" s="9"/>
    </row>
    <row r="547" ht="15.75" customHeight="1">
      <c r="H547" s="9"/>
    </row>
    <row r="548" ht="15.75" customHeight="1">
      <c r="H548" s="9"/>
    </row>
    <row r="549" ht="15.75" customHeight="1">
      <c r="H549" s="9"/>
    </row>
    <row r="550" ht="15.75" customHeight="1">
      <c r="H550" s="9"/>
    </row>
    <row r="551" ht="15.75" customHeight="1">
      <c r="H551" s="9"/>
    </row>
    <row r="552" ht="15.75" customHeight="1">
      <c r="H552" s="9"/>
    </row>
    <row r="553" ht="15.75" customHeight="1">
      <c r="H553" s="9"/>
    </row>
    <row r="554" ht="15.75" customHeight="1">
      <c r="H554" s="9"/>
    </row>
    <row r="555" ht="15.75" customHeight="1">
      <c r="H555" s="9"/>
    </row>
    <row r="556" ht="15.75" customHeight="1">
      <c r="H556" s="9"/>
    </row>
    <row r="557" ht="15.75" customHeight="1">
      <c r="H557" s="9"/>
    </row>
    <row r="558" ht="15.75" customHeight="1">
      <c r="H558" s="9"/>
    </row>
    <row r="559" ht="15.75" customHeight="1">
      <c r="H559" s="9"/>
    </row>
    <row r="560" ht="15.75" customHeight="1">
      <c r="H560" s="9"/>
    </row>
    <row r="561" ht="15.75" customHeight="1">
      <c r="H561" s="9"/>
    </row>
    <row r="562" ht="15.75" customHeight="1">
      <c r="H562" s="9"/>
    </row>
    <row r="563" ht="15.75" customHeight="1">
      <c r="H563" s="9"/>
    </row>
    <row r="564" ht="15.75" customHeight="1">
      <c r="H564" s="9"/>
    </row>
    <row r="565" ht="15.75" customHeight="1">
      <c r="H565" s="9"/>
    </row>
    <row r="566" ht="15.75" customHeight="1">
      <c r="H566" s="9"/>
    </row>
    <row r="567" ht="15.75" customHeight="1">
      <c r="H567" s="9"/>
    </row>
    <row r="568" ht="15.75" customHeight="1">
      <c r="H568" s="9"/>
    </row>
    <row r="569" ht="15.75" customHeight="1">
      <c r="H569" s="9"/>
    </row>
    <row r="570" ht="15.75" customHeight="1">
      <c r="H570" s="9"/>
    </row>
    <row r="571" ht="15.75" customHeight="1">
      <c r="H571" s="9"/>
    </row>
    <row r="572" ht="15.75" customHeight="1">
      <c r="H572" s="9"/>
    </row>
    <row r="573" ht="15.75" customHeight="1">
      <c r="H573" s="9"/>
    </row>
    <row r="574" ht="15.75" customHeight="1">
      <c r="H574" s="9"/>
    </row>
    <row r="575" ht="15.75" customHeight="1">
      <c r="H575" s="9"/>
    </row>
    <row r="576" ht="15.75" customHeight="1">
      <c r="H576" s="9"/>
    </row>
    <row r="577" ht="15.75" customHeight="1">
      <c r="H577" s="9"/>
    </row>
    <row r="578" ht="15.75" customHeight="1">
      <c r="H578" s="9"/>
    </row>
    <row r="579" ht="15.75" customHeight="1">
      <c r="H579" s="9"/>
    </row>
    <row r="580" ht="15.75" customHeight="1">
      <c r="H580" s="9"/>
    </row>
    <row r="581" ht="15.75" customHeight="1">
      <c r="H581" s="9"/>
    </row>
    <row r="582" ht="15.75" customHeight="1">
      <c r="H582" s="9"/>
    </row>
    <row r="583" ht="15.75" customHeight="1">
      <c r="H583" s="9"/>
    </row>
    <row r="584" ht="15.75" customHeight="1">
      <c r="H584" s="9"/>
    </row>
    <row r="585" ht="15.75" customHeight="1">
      <c r="H585" s="9"/>
    </row>
    <row r="586" ht="15.75" customHeight="1">
      <c r="H586" s="9"/>
    </row>
    <row r="587" ht="15.75" customHeight="1">
      <c r="H587" s="9"/>
    </row>
    <row r="588" ht="15.75" customHeight="1">
      <c r="H588" s="9"/>
    </row>
    <row r="589" ht="15.75" customHeight="1">
      <c r="H589" s="9"/>
    </row>
    <row r="590" ht="15.75" customHeight="1">
      <c r="H590" s="9"/>
    </row>
    <row r="591" ht="15.75" customHeight="1">
      <c r="H591" s="9"/>
    </row>
    <row r="592" ht="15.75" customHeight="1">
      <c r="H592" s="9"/>
    </row>
    <row r="593" ht="15.75" customHeight="1">
      <c r="H593" s="9"/>
    </row>
    <row r="594" ht="15.75" customHeight="1">
      <c r="H594" s="9"/>
    </row>
    <row r="595" ht="15.75" customHeight="1">
      <c r="H595" s="9"/>
    </row>
    <row r="596" ht="15.75" customHeight="1">
      <c r="H596" s="9"/>
    </row>
    <row r="597" ht="15.75" customHeight="1">
      <c r="H597" s="9"/>
    </row>
    <row r="598" ht="15.75" customHeight="1">
      <c r="H598" s="9"/>
    </row>
    <row r="599" ht="15.75" customHeight="1">
      <c r="H599" s="9"/>
    </row>
    <row r="600" ht="15.75" customHeight="1">
      <c r="H600" s="9"/>
    </row>
    <row r="601" ht="15.75" customHeight="1">
      <c r="H601" s="9"/>
    </row>
    <row r="602" ht="15.75" customHeight="1">
      <c r="H602" s="9"/>
    </row>
    <row r="603" ht="15.75" customHeight="1">
      <c r="H603" s="9"/>
    </row>
    <row r="604" ht="15.75" customHeight="1">
      <c r="H604" s="9"/>
    </row>
    <row r="605" ht="15.75" customHeight="1">
      <c r="H605" s="9"/>
    </row>
    <row r="606" ht="15.75" customHeight="1">
      <c r="H606" s="9"/>
    </row>
    <row r="607" ht="15.75" customHeight="1">
      <c r="H607" s="9"/>
    </row>
    <row r="608" ht="15.75" customHeight="1">
      <c r="H608" s="9"/>
    </row>
    <row r="609" ht="15.75" customHeight="1">
      <c r="H609" s="9"/>
    </row>
    <row r="610" ht="15.75" customHeight="1">
      <c r="H610" s="9"/>
    </row>
    <row r="611" ht="15.75" customHeight="1">
      <c r="H611" s="9"/>
    </row>
    <row r="612" ht="15.75" customHeight="1">
      <c r="H612" s="9"/>
    </row>
    <row r="613" ht="15.75" customHeight="1">
      <c r="H613" s="9"/>
    </row>
    <row r="614" ht="15.75" customHeight="1">
      <c r="H614" s="9"/>
    </row>
    <row r="615" ht="15.75" customHeight="1">
      <c r="H615" s="9"/>
    </row>
    <row r="616" ht="15.75" customHeight="1">
      <c r="H616" s="9"/>
    </row>
    <row r="617" ht="15.75" customHeight="1">
      <c r="H617" s="9"/>
    </row>
    <row r="618" ht="15.75" customHeight="1">
      <c r="H618" s="9"/>
    </row>
    <row r="619" ht="15.75" customHeight="1">
      <c r="H619" s="9"/>
    </row>
    <row r="620" ht="15.75" customHeight="1">
      <c r="H620" s="9"/>
    </row>
    <row r="621" ht="15.75" customHeight="1">
      <c r="H621" s="9"/>
    </row>
    <row r="622" ht="15.75" customHeight="1">
      <c r="H622" s="9"/>
    </row>
    <row r="623" ht="15.75" customHeight="1">
      <c r="H623" s="9"/>
    </row>
    <row r="624" ht="15.75" customHeight="1">
      <c r="H624" s="9"/>
    </row>
    <row r="625" ht="15.75" customHeight="1">
      <c r="H625" s="9"/>
    </row>
    <row r="626" ht="15.75" customHeight="1">
      <c r="H626" s="9"/>
    </row>
    <row r="627" ht="15.75" customHeight="1">
      <c r="H627" s="9"/>
    </row>
    <row r="628" ht="15.75" customHeight="1">
      <c r="H628" s="9"/>
    </row>
    <row r="629" ht="15.75" customHeight="1">
      <c r="H629" s="9"/>
    </row>
    <row r="630" ht="15.75" customHeight="1">
      <c r="H630" s="9"/>
    </row>
    <row r="631" ht="15.75" customHeight="1">
      <c r="H631" s="9"/>
    </row>
    <row r="632" ht="15.75" customHeight="1">
      <c r="H632" s="9"/>
    </row>
    <row r="633" ht="15.75" customHeight="1">
      <c r="H633" s="9"/>
    </row>
    <row r="634" ht="15.75" customHeight="1">
      <c r="H634" s="9"/>
    </row>
    <row r="635" ht="15.75" customHeight="1">
      <c r="H635" s="9"/>
    </row>
    <row r="636" ht="15.75" customHeight="1">
      <c r="H636" s="9"/>
    </row>
    <row r="637" ht="15.75" customHeight="1">
      <c r="H637" s="9"/>
    </row>
    <row r="638" ht="15.75" customHeight="1">
      <c r="H638" s="9"/>
    </row>
    <row r="639" ht="15.75" customHeight="1">
      <c r="H639" s="9"/>
    </row>
    <row r="640" ht="15.75" customHeight="1">
      <c r="H640" s="9"/>
    </row>
    <row r="641" ht="15.75" customHeight="1">
      <c r="H641" s="9"/>
    </row>
    <row r="642" ht="15.75" customHeight="1">
      <c r="H642" s="9"/>
    </row>
    <row r="643" ht="15.75" customHeight="1">
      <c r="H643" s="9"/>
    </row>
    <row r="644" ht="15.75" customHeight="1">
      <c r="H644" s="9"/>
    </row>
    <row r="645" ht="15.75" customHeight="1">
      <c r="H645" s="9"/>
    </row>
    <row r="646" ht="15.75" customHeight="1">
      <c r="H646" s="9"/>
    </row>
    <row r="647" ht="15.75" customHeight="1">
      <c r="H647" s="9"/>
    </row>
    <row r="648" ht="15.75" customHeight="1">
      <c r="H648" s="9"/>
    </row>
    <row r="649" ht="15.75" customHeight="1">
      <c r="H649" s="9"/>
    </row>
    <row r="650" ht="15.75" customHeight="1">
      <c r="H650" s="9"/>
    </row>
    <row r="651" ht="15.75" customHeight="1">
      <c r="H651" s="9"/>
    </row>
    <row r="652" ht="15.75" customHeight="1">
      <c r="H652" s="9"/>
    </row>
    <row r="653" ht="15.75" customHeight="1">
      <c r="H653" s="9"/>
    </row>
    <row r="654" ht="15.75" customHeight="1">
      <c r="H654" s="9"/>
    </row>
    <row r="655" ht="15.75" customHeight="1">
      <c r="H655" s="9"/>
    </row>
    <row r="656" ht="15.75" customHeight="1">
      <c r="H656" s="9"/>
    </row>
    <row r="657" ht="15.75" customHeight="1">
      <c r="H657" s="9"/>
    </row>
    <row r="658" ht="15.75" customHeight="1">
      <c r="H658" s="9"/>
    </row>
    <row r="659" ht="15.75" customHeight="1">
      <c r="H659" s="9"/>
    </row>
    <row r="660" ht="15.75" customHeight="1">
      <c r="H660" s="9"/>
    </row>
    <row r="661" ht="15.75" customHeight="1">
      <c r="H661" s="9"/>
    </row>
    <row r="662" ht="15.75" customHeight="1">
      <c r="H662" s="9"/>
    </row>
    <row r="663" ht="15.75" customHeight="1">
      <c r="H663" s="9"/>
    </row>
    <row r="664" ht="15.75" customHeight="1">
      <c r="H664" s="9"/>
    </row>
    <row r="665" ht="15.75" customHeight="1">
      <c r="H665" s="9"/>
    </row>
    <row r="666" ht="15.75" customHeight="1">
      <c r="H666" s="9"/>
    </row>
    <row r="667" ht="15.75" customHeight="1">
      <c r="H667" s="9"/>
    </row>
    <row r="668" ht="15.75" customHeight="1">
      <c r="H668" s="9"/>
    </row>
    <row r="669" ht="15.75" customHeight="1">
      <c r="H669" s="9"/>
    </row>
    <row r="670" ht="15.75" customHeight="1">
      <c r="H670" s="9"/>
    </row>
    <row r="671" ht="15.75" customHeight="1">
      <c r="H671" s="9"/>
    </row>
    <row r="672" ht="15.75" customHeight="1">
      <c r="H672" s="9"/>
    </row>
    <row r="673" ht="15.75" customHeight="1">
      <c r="H673" s="9"/>
    </row>
    <row r="674" ht="15.75" customHeight="1">
      <c r="H674" s="9"/>
    </row>
    <row r="675" ht="15.75" customHeight="1">
      <c r="H675" s="9"/>
    </row>
    <row r="676" ht="15.75" customHeight="1">
      <c r="H676" s="9"/>
    </row>
    <row r="677" ht="15.75" customHeight="1">
      <c r="H677" s="9"/>
    </row>
    <row r="678" ht="15.75" customHeight="1">
      <c r="H678" s="9"/>
    </row>
    <row r="679" ht="15.75" customHeight="1">
      <c r="H679" s="9"/>
    </row>
    <row r="680" ht="15.75" customHeight="1">
      <c r="H680" s="9"/>
    </row>
    <row r="681" ht="15.75" customHeight="1">
      <c r="H681" s="9"/>
    </row>
    <row r="682" ht="15.75" customHeight="1">
      <c r="H682" s="9"/>
    </row>
    <row r="683" ht="15.75" customHeight="1">
      <c r="H683" s="9"/>
    </row>
    <row r="684" ht="15.75" customHeight="1">
      <c r="H684" s="9"/>
    </row>
    <row r="685" ht="15.75" customHeight="1">
      <c r="H685" s="9"/>
    </row>
    <row r="686" ht="15.75" customHeight="1">
      <c r="H686" s="9"/>
    </row>
    <row r="687" ht="15.75" customHeight="1">
      <c r="H687" s="9"/>
    </row>
    <row r="688" ht="15.75" customHeight="1">
      <c r="H688" s="9"/>
    </row>
    <row r="689" ht="15.75" customHeight="1">
      <c r="H689" s="9"/>
    </row>
    <row r="690" ht="15.75" customHeight="1">
      <c r="H690" s="9"/>
    </row>
    <row r="691" ht="15.75" customHeight="1">
      <c r="H691" s="9"/>
    </row>
    <row r="692" ht="15.75" customHeight="1">
      <c r="H692" s="9"/>
    </row>
    <row r="693" ht="15.75" customHeight="1">
      <c r="H693" s="9"/>
    </row>
    <row r="694" ht="15.75" customHeight="1">
      <c r="H694" s="9"/>
    </row>
    <row r="695" ht="15.75" customHeight="1">
      <c r="H695" s="9"/>
    </row>
    <row r="696" ht="15.75" customHeight="1">
      <c r="H696" s="9"/>
    </row>
    <row r="697" ht="15.75" customHeight="1">
      <c r="H697" s="9"/>
    </row>
    <row r="698" ht="15.75" customHeight="1">
      <c r="H698" s="9"/>
    </row>
    <row r="699" ht="15.75" customHeight="1">
      <c r="H699" s="9"/>
    </row>
    <row r="700" ht="15.75" customHeight="1">
      <c r="H700" s="9"/>
    </row>
    <row r="701" ht="15.75" customHeight="1">
      <c r="H701" s="9"/>
    </row>
    <row r="702" ht="15.75" customHeight="1">
      <c r="H702" s="9"/>
    </row>
    <row r="703" ht="15.75" customHeight="1">
      <c r="H703" s="9"/>
    </row>
    <row r="704" ht="15.75" customHeight="1">
      <c r="H704" s="9"/>
    </row>
    <row r="705" ht="15.75" customHeight="1">
      <c r="H705" s="9"/>
    </row>
    <row r="706" ht="15.75" customHeight="1">
      <c r="H706" s="9"/>
    </row>
    <row r="707" ht="15.75" customHeight="1">
      <c r="H707" s="9"/>
    </row>
    <row r="708" ht="15.75" customHeight="1">
      <c r="H708" s="9"/>
    </row>
    <row r="709" ht="15.75" customHeight="1">
      <c r="H709" s="9"/>
    </row>
    <row r="710" ht="15.75" customHeight="1">
      <c r="H710" s="9"/>
    </row>
    <row r="711" ht="15.75" customHeight="1">
      <c r="H711" s="9"/>
    </row>
    <row r="712" ht="15.75" customHeight="1">
      <c r="H712" s="9"/>
    </row>
    <row r="713" ht="15.75" customHeight="1">
      <c r="H713" s="9"/>
    </row>
    <row r="714" ht="15.75" customHeight="1">
      <c r="H714" s="9"/>
    </row>
    <row r="715" ht="15.75" customHeight="1">
      <c r="H715" s="9"/>
    </row>
    <row r="716" ht="15.75" customHeight="1">
      <c r="H716" s="9"/>
    </row>
    <row r="717" ht="15.75" customHeight="1">
      <c r="H717" s="9"/>
    </row>
    <row r="718" ht="15.75" customHeight="1">
      <c r="H718" s="9"/>
    </row>
    <row r="719" ht="15.75" customHeight="1">
      <c r="H719" s="9"/>
    </row>
    <row r="720" ht="15.75" customHeight="1">
      <c r="H720" s="9"/>
    </row>
    <row r="721" ht="15.75" customHeight="1">
      <c r="H721" s="9"/>
    </row>
    <row r="722" ht="15.75" customHeight="1">
      <c r="H722" s="9"/>
    </row>
    <row r="723" ht="15.75" customHeight="1">
      <c r="H723" s="9"/>
    </row>
    <row r="724" ht="15.75" customHeight="1">
      <c r="H724" s="9"/>
    </row>
    <row r="725" ht="15.75" customHeight="1">
      <c r="H725" s="9"/>
    </row>
    <row r="726" ht="15.75" customHeight="1">
      <c r="H726" s="9"/>
    </row>
    <row r="727" ht="15.75" customHeight="1">
      <c r="H727" s="9"/>
    </row>
    <row r="728" ht="15.75" customHeight="1">
      <c r="H728" s="9"/>
    </row>
    <row r="729" ht="15.75" customHeight="1">
      <c r="H729" s="9"/>
    </row>
    <row r="730" ht="15.75" customHeight="1">
      <c r="H730" s="9"/>
    </row>
    <row r="731" ht="15.75" customHeight="1">
      <c r="H731" s="9"/>
    </row>
    <row r="732" ht="15.75" customHeight="1">
      <c r="H732" s="9"/>
    </row>
    <row r="733" ht="15.75" customHeight="1">
      <c r="H733" s="9"/>
    </row>
    <row r="734" ht="15.75" customHeight="1">
      <c r="H734" s="9"/>
    </row>
    <row r="735" ht="15.75" customHeight="1">
      <c r="H735" s="9"/>
    </row>
    <row r="736" ht="15.75" customHeight="1">
      <c r="H736" s="9"/>
    </row>
    <row r="737" ht="15.75" customHeight="1">
      <c r="H737" s="9"/>
    </row>
    <row r="738" ht="15.75" customHeight="1">
      <c r="H738" s="9"/>
    </row>
    <row r="739" ht="15.75" customHeight="1">
      <c r="H739" s="9"/>
    </row>
    <row r="740" ht="15.75" customHeight="1">
      <c r="H740" s="9"/>
    </row>
    <row r="741" ht="15.75" customHeight="1">
      <c r="H741" s="9"/>
    </row>
    <row r="742" ht="15.75" customHeight="1">
      <c r="H742" s="9"/>
    </row>
    <row r="743" ht="15.75" customHeight="1">
      <c r="H743" s="9"/>
    </row>
    <row r="744" ht="15.75" customHeight="1">
      <c r="H744" s="9"/>
    </row>
    <row r="745" ht="15.75" customHeight="1">
      <c r="H745" s="9"/>
    </row>
    <row r="746" ht="15.75" customHeight="1">
      <c r="H746" s="9"/>
    </row>
    <row r="747" ht="15.75" customHeight="1">
      <c r="H747" s="9"/>
    </row>
    <row r="748" ht="15.75" customHeight="1">
      <c r="H748" s="9"/>
    </row>
    <row r="749" ht="15.75" customHeight="1">
      <c r="H749" s="9"/>
    </row>
    <row r="750" ht="15.75" customHeight="1">
      <c r="H750" s="9"/>
    </row>
    <row r="751" ht="15.75" customHeight="1">
      <c r="H751" s="9"/>
    </row>
    <row r="752" ht="15.75" customHeight="1">
      <c r="H752" s="9"/>
    </row>
    <row r="753" ht="15.75" customHeight="1">
      <c r="H753" s="9"/>
    </row>
    <row r="754" ht="15.75" customHeight="1">
      <c r="H754" s="9"/>
    </row>
    <row r="755" ht="15.75" customHeight="1">
      <c r="H755" s="9"/>
    </row>
    <row r="756" ht="15.75" customHeight="1">
      <c r="H756" s="9"/>
    </row>
    <row r="757" ht="15.75" customHeight="1">
      <c r="H757" s="9"/>
    </row>
    <row r="758" ht="15.75" customHeight="1">
      <c r="H758" s="9"/>
    </row>
    <row r="759" ht="15.75" customHeight="1">
      <c r="H759" s="9"/>
    </row>
    <row r="760" ht="15.75" customHeight="1">
      <c r="H760" s="9"/>
    </row>
    <row r="761" ht="15.75" customHeight="1">
      <c r="H761" s="9"/>
    </row>
    <row r="762" ht="15.75" customHeight="1">
      <c r="H762" s="9"/>
    </row>
    <row r="763" ht="15.75" customHeight="1">
      <c r="H763" s="9"/>
    </row>
    <row r="764" ht="15.75" customHeight="1">
      <c r="H764" s="9"/>
    </row>
    <row r="765" ht="15.75" customHeight="1">
      <c r="H765" s="9"/>
    </row>
    <row r="766" ht="15.75" customHeight="1">
      <c r="H766" s="9"/>
    </row>
    <row r="767" ht="15.75" customHeight="1">
      <c r="H767" s="9"/>
    </row>
    <row r="768" ht="15.75" customHeight="1">
      <c r="H768" s="9"/>
    </row>
    <row r="769" ht="15.75" customHeight="1">
      <c r="H769" s="9"/>
    </row>
    <row r="770" ht="15.75" customHeight="1">
      <c r="H770" s="9"/>
    </row>
    <row r="771" ht="15.75" customHeight="1">
      <c r="H771" s="9"/>
    </row>
    <row r="772" ht="15.75" customHeight="1">
      <c r="H772" s="9"/>
    </row>
    <row r="773" ht="15.75" customHeight="1">
      <c r="H773" s="9"/>
    </row>
    <row r="774" ht="15.75" customHeight="1">
      <c r="H774" s="9"/>
    </row>
    <row r="775" ht="15.75" customHeight="1">
      <c r="H775" s="9"/>
    </row>
    <row r="776" ht="15.75" customHeight="1">
      <c r="H776" s="9"/>
    </row>
    <row r="777" ht="15.75" customHeight="1">
      <c r="H777" s="9"/>
    </row>
    <row r="778" ht="15.75" customHeight="1">
      <c r="H778" s="9"/>
    </row>
    <row r="779" ht="15.75" customHeight="1">
      <c r="H779" s="9"/>
    </row>
    <row r="780" ht="15.75" customHeight="1">
      <c r="H780" s="9"/>
    </row>
    <row r="781" ht="15.75" customHeight="1">
      <c r="H781" s="9"/>
    </row>
    <row r="782" ht="15.75" customHeight="1">
      <c r="H782" s="9"/>
    </row>
    <row r="783" ht="15.75" customHeight="1">
      <c r="H783" s="9"/>
    </row>
    <row r="784" ht="15.75" customHeight="1">
      <c r="H784" s="9"/>
    </row>
    <row r="785" ht="15.75" customHeight="1">
      <c r="H785" s="9"/>
    </row>
    <row r="786" ht="15.75" customHeight="1">
      <c r="H786" s="9"/>
    </row>
    <row r="787" ht="15.75" customHeight="1">
      <c r="H787" s="9"/>
    </row>
    <row r="788" ht="15.75" customHeight="1">
      <c r="H788" s="9"/>
    </row>
    <row r="789" ht="15.75" customHeight="1">
      <c r="H789" s="9"/>
    </row>
    <row r="790" ht="15.75" customHeight="1">
      <c r="H790" s="9"/>
    </row>
    <row r="791" ht="15.75" customHeight="1">
      <c r="H791" s="9"/>
    </row>
    <row r="792" ht="15.75" customHeight="1">
      <c r="H792" s="9"/>
    </row>
    <row r="793" ht="15.75" customHeight="1">
      <c r="H793" s="9"/>
    </row>
    <row r="794" ht="15.75" customHeight="1">
      <c r="H794" s="9"/>
    </row>
    <row r="795" ht="15.75" customHeight="1">
      <c r="H795" s="9"/>
    </row>
    <row r="796" ht="15.75" customHeight="1">
      <c r="H796" s="9"/>
    </row>
    <row r="797" ht="15.75" customHeight="1">
      <c r="H797" s="9"/>
    </row>
    <row r="798" ht="15.75" customHeight="1">
      <c r="H798" s="9"/>
    </row>
    <row r="799" ht="15.75" customHeight="1">
      <c r="H799" s="9"/>
    </row>
    <row r="800" ht="15.75" customHeight="1">
      <c r="H800" s="9"/>
    </row>
    <row r="801" ht="15.75" customHeight="1">
      <c r="H801" s="9"/>
    </row>
    <row r="802" ht="15.75" customHeight="1">
      <c r="H802" s="9"/>
    </row>
    <row r="803" ht="15.75" customHeight="1">
      <c r="H803" s="9"/>
    </row>
    <row r="804" ht="15.75" customHeight="1">
      <c r="H804" s="9"/>
    </row>
    <row r="805" ht="15.75" customHeight="1">
      <c r="H805" s="9"/>
    </row>
    <row r="806" ht="15.75" customHeight="1">
      <c r="H806" s="9"/>
    </row>
    <row r="807" ht="15.75" customHeight="1">
      <c r="H807" s="9"/>
    </row>
    <row r="808" ht="15.75" customHeight="1">
      <c r="H808" s="9"/>
    </row>
    <row r="809" ht="15.75" customHeight="1">
      <c r="H809" s="9"/>
    </row>
    <row r="810" ht="15.75" customHeight="1">
      <c r="H810" s="9"/>
    </row>
    <row r="811" ht="15.75" customHeight="1">
      <c r="H811" s="9"/>
    </row>
    <row r="812" ht="15.75" customHeight="1">
      <c r="H812" s="9"/>
    </row>
    <row r="813" ht="15.75" customHeight="1">
      <c r="H813" s="9"/>
    </row>
    <row r="814" ht="15.75" customHeight="1">
      <c r="H814" s="9"/>
    </row>
    <row r="815" ht="15.75" customHeight="1">
      <c r="H815" s="9"/>
    </row>
    <row r="816" ht="15.75" customHeight="1">
      <c r="H816" s="9"/>
    </row>
    <row r="817" ht="15.75" customHeight="1">
      <c r="H817" s="9"/>
    </row>
    <row r="818" ht="15.75" customHeight="1">
      <c r="H818" s="9"/>
    </row>
    <row r="819" ht="15.75" customHeight="1">
      <c r="H819" s="9"/>
    </row>
    <row r="820" ht="15.75" customHeight="1">
      <c r="H820" s="9"/>
    </row>
    <row r="821" ht="15.75" customHeight="1">
      <c r="H821" s="9"/>
    </row>
    <row r="822" ht="15.75" customHeight="1">
      <c r="H822" s="9"/>
    </row>
    <row r="823" ht="15.75" customHeight="1">
      <c r="H823" s="9"/>
    </row>
    <row r="824" ht="15.75" customHeight="1">
      <c r="H824" s="9"/>
    </row>
    <row r="825" ht="15.75" customHeight="1">
      <c r="H825" s="9"/>
    </row>
    <row r="826" ht="15.75" customHeight="1">
      <c r="H826" s="9"/>
    </row>
    <row r="827" ht="15.75" customHeight="1">
      <c r="H827" s="9"/>
    </row>
    <row r="828" ht="15.75" customHeight="1">
      <c r="H828" s="9"/>
    </row>
    <row r="829" ht="15.75" customHeight="1">
      <c r="H829" s="9"/>
    </row>
    <row r="830" ht="15.75" customHeight="1">
      <c r="H830" s="9"/>
    </row>
    <row r="831" ht="15.75" customHeight="1">
      <c r="H831" s="9"/>
    </row>
    <row r="832" ht="15.75" customHeight="1">
      <c r="H832" s="9"/>
    </row>
    <row r="833" ht="15.75" customHeight="1">
      <c r="H833" s="9"/>
    </row>
    <row r="834" ht="15.75" customHeight="1">
      <c r="H834" s="9"/>
    </row>
    <row r="835" ht="15.75" customHeight="1">
      <c r="H835" s="9"/>
    </row>
    <row r="836" ht="15.75" customHeight="1">
      <c r="H836" s="9"/>
    </row>
    <row r="837" ht="15.75" customHeight="1">
      <c r="H837" s="9"/>
    </row>
    <row r="838" ht="15.75" customHeight="1">
      <c r="H838" s="9"/>
    </row>
    <row r="839" ht="15.75" customHeight="1">
      <c r="H839" s="9"/>
    </row>
    <row r="840" ht="15.75" customHeight="1">
      <c r="H840" s="9"/>
    </row>
    <row r="841" ht="15.75" customHeight="1">
      <c r="H841" s="9"/>
    </row>
    <row r="842" ht="15.75" customHeight="1">
      <c r="H842" s="9"/>
    </row>
    <row r="843" ht="15.75" customHeight="1">
      <c r="H843" s="9"/>
    </row>
    <row r="844" ht="15.75" customHeight="1">
      <c r="H844" s="9"/>
    </row>
    <row r="845" ht="15.75" customHeight="1">
      <c r="H845" s="9"/>
    </row>
    <row r="846" ht="15.75" customHeight="1">
      <c r="H846" s="9"/>
    </row>
    <row r="847" ht="15.75" customHeight="1">
      <c r="H847" s="9"/>
    </row>
    <row r="848" ht="15.75" customHeight="1">
      <c r="H848" s="9"/>
    </row>
    <row r="849" ht="15.75" customHeight="1">
      <c r="H849" s="9"/>
    </row>
    <row r="850" ht="15.75" customHeight="1">
      <c r="H850" s="9"/>
    </row>
    <row r="851" ht="15.75" customHeight="1">
      <c r="H851" s="9"/>
    </row>
    <row r="852" ht="15.75" customHeight="1">
      <c r="H852" s="9"/>
    </row>
    <row r="853" ht="15.75" customHeight="1">
      <c r="H853" s="9"/>
    </row>
    <row r="854" ht="15.75" customHeight="1">
      <c r="H854" s="9"/>
    </row>
    <row r="855" ht="15.75" customHeight="1">
      <c r="H855" s="9"/>
    </row>
    <row r="856" ht="15.75" customHeight="1">
      <c r="H856" s="9"/>
    </row>
    <row r="857" ht="15.75" customHeight="1">
      <c r="H857" s="9"/>
    </row>
    <row r="858" ht="15.75" customHeight="1">
      <c r="H858" s="9"/>
    </row>
    <row r="859" ht="15.75" customHeight="1">
      <c r="H859" s="9"/>
    </row>
    <row r="860" ht="15.75" customHeight="1">
      <c r="H860" s="9"/>
    </row>
    <row r="861" ht="15.75" customHeight="1">
      <c r="H861" s="9"/>
    </row>
    <row r="862" ht="15.75" customHeight="1">
      <c r="H862" s="9"/>
    </row>
    <row r="863" ht="15.75" customHeight="1">
      <c r="H863" s="9"/>
    </row>
    <row r="864" ht="15.75" customHeight="1">
      <c r="H864" s="9"/>
    </row>
    <row r="865" ht="15.75" customHeight="1">
      <c r="H865" s="9"/>
    </row>
    <row r="866" ht="15.75" customHeight="1">
      <c r="H866" s="9"/>
    </row>
    <row r="867" ht="15.75" customHeight="1">
      <c r="H867" s="9"/>
    </row>
    <row r="868" ht="15.75" customHeight="1">
      <c r="H868" s="9"/>
    </row>
    <row r="869" ht="15.75" customHeight="1">
      <c r="H869" s="9"/>
    </row>
    <row r="870" ht="15.75" customHeight="1">
      <c r="H870" s="9"/>
    </row>
    <row r="871" ht="15.75" customHeight="1">
      <c r="H871" s="9"/>
    </row>
    <row r="872" ht="15.75" customHeight="1">
      <c r="H872" s="9"/>
    </row>
    <row r="873" ht="15.75" customHeight="1">
      <c r="H873" s="9"/>
    </row>
    <row r="874" ht="15.75" customHeight="1">
      <c r="H874" s="9"/>
    </row>
    <row r="875" ht="15.75" customHeight="1">
      <c r="H875" s="9"/>
    </row>
    <row r="876" ht="15.75" customHeight="1">
      <c r="H876" s="9"/>
    </row>
    <row r="877" ht="15.75" customHeight="1">
      <c r="H877" s="9"/>
    </row>
    <row r="878" ht="15.75" customHeight="1">
      <c r="H878" s="9"/>
    </row>
    <row r="879" ht="15.75" customHeight="1">
      <c r="H879" s="9"/>
    </row>
    <row r="880" ht="15.75" customHeight="1">
      <c r="H880" s="9"/>
    </row>
    <row r="881" ht="15.75" customHeight="1">
      <c r="H881" s="9"/>
    </row>
    <row r="882" ht="15.75" customHeight="1">
      <c r="H882" s="9"/>
    </row>
    <row r="883" ht="15.75" customHeight="1">
      <c r="H883" s="9"/>
    </row>
    <row r="884" ht="15.75" customHeight="1">
      <c r="H884" s="9"/>
    </row>
    <row r="885" ht="15.75" customHeight="1">
      <c r="H885" s="9"/>
    </row>
    <row r="886" ht="15.75" customHeight="1">
      <c r="H886" s="9"/>
    </row>
    <row r="887" ht="15.75" customHeight="1">
      <c r="H887" s="9"/>
    </row>
    <row r="888" ht="15.75" customHeight="1">
      <c r="H888" s="9"/>
    </row>
    <row r="889" ht="15.75" customHeight="1">
      <c r="H889" s="9"/>
    </row>
    <row r="890" ht="15.75" customHeight="1">
      <c r="H890" s="9"/>
    </row>
    <row r="891" ht="15.75" customHeight="1">
      <c r="H891" s="9"/>
    </row>
    <row r="892" ht="15.75" customHeight="1">
      <c r="H892" s="9"/>
    </row>
    <row r="893" ht="15.75" customHeight="1">
      <c r="H893" s="9"/>
    </row>
    <row r="894" ht="15.75" customHeight="1">
      <c r="H894" s="9"/>
    </row>
    <row r="895" ht="15.75" customHeight="1">
      <c r="H895" s="9"/>
    </row>
    <row r="896" ht="15.75" customHeight="1">
      <c r="H896" s="9"/>
    </row>
    <row r="897" ht="15.75" customHeight="1">
      <c r="H897" s="9"/>
    </row>
    <row r="898" ht="15.75" customHeight="1">
      <c r="H898" s="9"/>
    </row>
    <row r="899" ht="15.75" customHeight="1">
      <c r="H899" s="9"/>
    </row>
    <row r="900" ht="15.75" customHeight="1">
      <c r="H900" s="9"/>
    </row>
    <row r="901" ht="15.75" customHeight="1">
      <c r="H901" s="9"/>
    </row>
    <row r="902" ht="15.75" customHeight="1">
      <c r="H902" s="9"/>
    </row>
    <row r="903" ht="15.75" customHeight="1">
      <c r="H903" s="9"/>
    </row>
    <row r="904" ht="15.75" customHeight="1">
      <c r="H904" s="9"/>
    </row>
    <row r="905" ht="15.75" customHeight="1">
      <c r="H905" s="9"/>
    </row>
    <row r="906" ht="15.75" customHeight="1">
      <c r="H906" s="9"/>
    </row>
    <row r="907" ht="15.75" customHeight="1">
      <c r="H907" s="9"/>
    </row>
    <row r="908" ht="15.75" customHeight="1">
      <c r="H908" s="9"/>
    </row>
    <row r="909" ht="15.75" customHeight="1">
      <c r="H909" s="9"/>
    </row>
    <row r="910" ht="15.75" customHeight="1">
      <c r="H910" s="9"/>
    </row>
    <row r="911" ht="15.75" customHeight="1">
      <c r="H911" s="9"/>
    </row>
    <row r="912" ht="15.75" customHeight="1">
      <c r="H912" s="9"/>
    </row>
    <row r="913" ht="15.75" customHeight="1">
      <c r="H913" s="9"/>
    </row>
    <row r="914" ht="15.75" customHeight="1">
      <c r="H914" s="9"/>
    </row>
    <row r="915" ht="15.75" customHeight="1">
      <c r="H915" s="9"/>
    </row>
    <row r="916" ht="15.75" customHeight="1">
      <c r="H916" s="9"/>
    </row>
    <row r="917" ht="15.75" customHeight="1">
      <c r="H917" s="9"/>
    </row>
    <row r="918" ht="15.75" customHeight="1">
      <c r="H918" s="9"/>
    </row>
    <row r="919" ht="15.75" customHeight="1">
      <c r="H919" s="9"/>
    </row>
    <row r="920" ht="15.75" customHeight="1">
      <c r="H920" s="9"/>
    </row>
    <row r="921" ht="15.75" customHeight="1">
      <c r="H921" s="9"/>
    </row>
    <row r="922" ht="15.75" customHeight="1">
      <c r="H922" s="9"/>
    </row>
    <row r="923" ht="15.75" customHeight="1">
      <c r="H923" s="9"/>
    </row>
    <row r="924" ht="15.75" customHeight="1">
      <c r="H924" s="9"/>
    </row>
    <row r="925" ht="15.75" customHeight="1">
      <c r="H925" s="9"/>
    </row>
    <row r="926" ht="15.75" customHeight="1">
      <c r="H926" s="9"/>
    </row>
    <row r="927" ht="15.75" customHeight="1">
      <c r="H927" s="9"/>
    </row>
    <row r="928" ht="15.75" customHeight="1">
      <c r="H928" s="9"/>
    </row>
    <row r="929" ht="15.75" customHeight="1">
      <c r="H929" s="9"/>
    </row>
    <row r="930" ht="15.75" customHeight="1">
      <c r="H930" s="9"/>
    </row>
    <row r="931" ht="15.75" customHeight="1">
      <c r="H931" s="9"/>
    </row>
    <row r="932" ht="15.75" customHeight="1">
      <c r="H932" s="9"/>
    </row>
    <row r="933" ht="15.75" customHeight="1">
      <c r="H933" s="9"/>
    </row>
    <row r="934" ht="15.75" customHeight="1">
      <c r="H934" s="9"/>
    </row>
    <row r="935" ht="15.75" customHeight="1">
      <c r="H935" s="9"/>
    </row>
    <row r="936" ht="15.75" customHeight="1">
      <c r="H936" s="9"/>
    </row>
    <row r="937" ht="15.75" customHeight="1">
      <c r="H937" s="9"/>
    </row>
    <row r="938" ht="15.75" customHeight="1">
      <c r="H938" s="9"/>
    </row>
    <row r="939" ht="15.75" customHeight="1">
      <c r="H939" s="9"/>
    </row>
    <row r="940" ht="15.75" customHeight="1">
      <c r="H940" s="9"/>
    </row>
    <row r="941" ht="15.75" customHeight="1">
      <c r="H941" s="9"/>
    </row>
    <row r="942" ht="15.75" customHeight="1">
      <c r="H942" s="9"/>
    </row>
    <row r="943" ht="15.75" customHeight="1">
      <c r="H943" s="9"/>
    </row>
    <row r="944" ht="15.75" customHeight="1">
      <c r="H944" s="9"/>
    </row>
    <row r="945" ht="15.75" customHeight="1">
      <c r="H945" s="9"/>
    </row>
    <row r="946" ht="15.75" customHeight="1">
      <c r="H946" s="9"/>
    </row>
    <row r="947" ht="15.75" customHeight="1">
      <c r="H947" s="9"/>
    </row>
    <row r="948" ht="15.75" customHeight="1">
      <c r="H948" s="9"/>
    </row>
    <row r="949" ht="15.75" customHeight="1">
      <c r="H949" s="9"/>
    </row>
    <row r="950" ht="15.75" customHeight="1">
      <c r="H950" s="9"/>
    </row>
    <row r="951" ht="15.75" customHeight="1">
      <c r="H951" s="9"/>
    </row>
    <row r="952" ht="15.75" customHeight="1">
      <c r="H952" s="9"/>
    </row>
    <row r="953" ht="15.75" customHeight="1">
      <c r="H953" s="9"/>
    </row>
    <row r="954" ht="15.75" customHeight="1">
      <c r="H954" s="9"/>
    </row>
    <row r="955" ht="15.75" customHeight="1">
      <c r="H955" s="9"/>
    </row>
    <row r="956" ht="15.75" customHeight="1">
      <c r="H956" s="9"/>
    </row>
    <row r="957" ht="15.75" customHeight="1">
      <c r="H957" s="9"/>
    </row>
    <row r="958" ht="15.75" customHeight="1">
      <c r="H958" s="9"/>
    </row>
    <row r="959" ht="15.75" customHeight="1">
      <c r="H959" s="9"/>
    </row>
    <row r="960" ht="15.75" customHeight="1">
      <c r="H960" s="9"/>
    </row>
    <row r="961" ht="15.75" customHeight="1">
      <c r="H961" s="9"/>
    </row>
    <row r="962" ht="15.75" customHeight="1">
      <c r="H962" s="9"/>
    </row>
    <row r="963" ht="15.75" customHeight="1">
      <c r="H963" s="9"/>
    </row>
    <row r="964" ht="15.75" customHeight="1">
      <c r="H964" s="9"/>
    </row>
    <row r="965" ht="15.75" customHeight="1">
      <c r="H965" s="9"/>
    </row>
    <row r="966" ht="15.75" customHeight="1">
      <c r="H966" s="9"/>
    </row>
    <row r="967" ht="15.75" customHeight="1">
      <c r="H967" s="9"/>
    </row>
    <row r="968" ht="15.75" customHeight="1">
      <c r="H968" s="9"/>
    </row>
    <row r="969" ht="15.75" customHeight="1">
      <c r="H969" s="9"/>
    </row>
    <row r="970" ht="15.75" customHeight="1">
      <c r="H970" s="9"/>
    </row>
    <row r="971" ht="15.75" customHeight="1">
      <c r="H971" s="9"/>
    </row>
    <row r="972" ht="15.75" customHeight="1">
      <c r="H972" s="9"/>
    </row>
    <row r="973" ht="15.75" customHeight="1">
      <c r="H973" s="9"/>
    </row>
    <row r="974" ht="15.75" customHeight="1">
      <c r="H974" s="9"/>
    </row>
    <row r="975" ht="15.75" customHeight="1">
      <c r="H975" s="9"/>
    </row>
    <row r="976" ht="15.75" customHeight="1">
      <c r="H976" s="9"/>
    </row>
    <row r="977" ht="15.75" customHeight="1">
      <c r="H977" s="9"/>
    </row>
    <row r="978" ht="15.75" customHeight="1">
      <c r="H978" s="9"/>
    </row>
    <row r="979" ht="15.75" customHeight="1">
      <c r="H979" s="9"/>
    </row>
    <row r="980" ht="15.75" customHeight="1">
      <c r="H980" s="9"/>
    </row>
    <row r="981" ht="15.75" customHeight="1">
      <c r="H981" s="9"/>
    </row>
    <row r="982" ht="15.75" customHeight="1">
      <c r="H982" s="9"/>
    </row>
    <row r="983" ht="15.75" customHeight="1">
      <c r="H983" s="9"/>
    </row>
    <row r="984" ht="15.75" customHeight="1">
      <c r="H984" s="9"/>
    </row>
    <row r="985" ht="15.75" customHeight="1">
      <c r="H985" s="9"/>
    </row>
    <row r="986" ht="15.75" customHeight="1">
      <c r="H986" s="9"/>
    </row>
    <row r="987" ht="15.75" customHeight="1">
      <c r="H987" s="9"/>
    </row>
    <row r="988" ht="15.75" customHeight="1">
      <c r="H988" s="9"/>
    </row>
    <row r="989" ht="15.75" customHeight="1">
      <c r="H989" s="9"/>
    </row>
    <row r="990" ht="15.75" customHeight="1">
      <c r="H990" s="9"/>
    </row>
    <row r="991" ht="15.75" customHeight="1">
      <c r="H991" s="9"/>
    </row>
    <row r="992" ht="15.75" customHeight="1">
      <c r="H992" s="9"/>
    </row>
    <row r="993" ht="15.75" customHeight="1">
      <c r="H993" s="9"/>
    </row>
    <row r="994" ht="15.75" customHeight="1">
      <c r="H994" s="9"/>
    </row>
    <row r="995" ht="15.75" customHeight="1">
      <c r="H995" s="9"/>
    </row>
    <row r="996" ht="15.75" customHeight="1">
      <c r="H996" s="9"/>
    </row>
    <row r="997" ht="15.75" customHeight="1">
      <c r="H997" s="9"/>
    </row>
    <row r="998" ht="15.75" customHeight="1">
      <c r="H998" s="9"/>
    </row>
    <row r="999" ht="15.75" customHeight="1">
      <c r="H999" s="9"/>
    </row>
    <row r="1000" ht="15.75" customHeight="1">
      <c r="H1000" s="9"/>
    </row>
  </sheetData>
  <autoFilter ref="$A$1:$F$1">
    <sortState ref="A1:F1">
      <sortCondition descending="1" ref="F1"/>
    </sortState>
  </autoFilter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</row>
    <row r="3">
      <c r="A3" s="3" t="s">
        <v>20</v>
      </c>
    </row>
    <row r="4">
      <c r="A4" s="4">
        <f>'Practice Dataset'!F105</f>
        <v>333940.58</v>
      </c>
    </row>
    <row r="5">
      <c r="A5" s="3" t="s">
        <v>21</v>
      </c>
    </row>
    <row r="6">
      <c r="A6" s="2">
        <f>COUNTA('Practice Dataset'!B2:'Practice Dataset'!B104)</f>
        <v>103</v>
      </c>
    </row>
    <row r="7">
      <c r="A7" s="3" t="s">
        <v>22</v>
      </c>
    </row>
    <row r="8">
      <c r="A8" s="2">
        <f>COUNTIF('Practice Dataset'!I2:'Practice Dataset'!I104,"A")</f>
        <v>53</v>
      </c>
    </row>
    <row r="9">
      <c r="A9" s="3" t="s">
        <v>23</v>
      </c>
    </row>
    <row r="10">
      <c r="A10" s="2">
        <f>COUNTIF('Practice Dataset'!I2:'Practice Dataset'!I104,"B")</f>
        <v>29</v>
      </c>
    </row>
    <row r="11">
      <c r="A11" s="3" t="s">
        <v>24</v>
      </c>
    </row>
    <row r="12">
      <c r="A12" s="2">
        <f>COUNTIF('Practice Dataset'!I2:'Practice Dataset'!I104,"C")</f>
        <v>21</v>
      </c>
    </row>
    <row r="15">
      <c r="A15" s="5" t="s">
        <v>25</v>
      </c>
    </row>
    <row r="16">
      <c r="A16" s="6"/>
    </row>
    <row r="17">
      <c r="A17" s="5" t="s">
        <v>26</v>
      </c>
    </row>
    <row r="18">
      <c r="A18" s="6"/>
    </row>
    <row r="19">
      <c r="A19" s="5" t="s">
        <v>27</v>
      </c>
    </row>
    <row r="20">
      <c r="A20" s="6"/>
    </row>
    <row r="21">
      <c r="A21" s="5" t="s">
        <v>28</v>
      </c>
    </row>
    <row r="22">
      <c r="A22" s="6"/>
    </row>
    <row r="23">
      <c r="A23" s="5" t="s">
        <v>29</v>
      </c>
    </row>
    <row r="24">
      <c r="A24" s="6"/>
    </row>
    <row r="25">
      <c r="A25" s="5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10.0"/>
    <col customWidth="1" min="3" max="26" width="8.71"/>
  </cols>
  <sheetData>
    <row r="1">
      <c r="A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2026-09-17T11:23:43Z</dcterms:created>
  <dc:creator>openpyxl</dc:creator>
</cp:coreProperties>
</file>